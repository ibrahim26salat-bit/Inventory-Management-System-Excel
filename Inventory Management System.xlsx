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tables/table4.xml" ContentType="application/vnd.openxmlformats-officedocument.spreadsheetml.table+xml"/>
  <Override PartName="/xl/drawings/drawing7.xml" ContentType="application/vnd.openxmlformats-officedocument.drawing+xml"/>
  <Override PartName="/xl/tables/table5.xml" ContentType="application/vnd.openxmlformats-officedocument.spreadsheetml.table+xml"/>
  <Override PartName="/xl/drawings/drawing8.xml" ContentType="application/vnd.openxmlformats-officedocument.drawing+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D:\Desktop\Powerbi\Excel project\"/>
    </mc:Choice>
  </mc:AlternateContent>
  <xr:revisionPtr revIDLastSave="0" documentId="8_{C2A059D6-6458-475E-BD36-C268491AE002}" xr6:coauthVersionLast="47" xr6:coauthVersionMax="47" xr10:uidLastSave="{00000000-0000-0000-0000-000000000000}"/>
  <bookViews>
    <workbookView xWindow="-108" yWindow="-108" windowWidth="23256" windowHeight="12456" tabRatio="605" activeTab="2" xr2:uid="{4B492FEC-7293-45D3-B452-14188C4D00A5}"/>
  </bookViews>
  <sheets>
    <sheet name="Dashboard" sheetId="1" r:id="rId1"/>
    <sheet name="Customers" sheetId="2" r:id="rId2"/>
    <sheet name="Products" sheetId="3" r:id="rId3"/>
    <sheet name="Vendors" sheetId="4" r:id="rId4"/>
    <sheet name="NewEntry" sheetId="5" r:id="rId5"/>
    <sheet name="Purchase" sheetId="6" r:id="rId6"/>
    <sheet name="Sales" sheetId="7" r:id="rId7"/>
    <sheet name="Inventory" sheetId="8" r:id="rId8"/>
    <sheet name="Pivots" sheetId="9" r:id="rId9"/>
  </sheets>
  <definedNames>
    <definedName name="Cust_ID">customersdata[Cust_ID]</definedName>
    <definedName name="hsncode">Products!$D$11:$D$20</definedName>
    <definedName name="Slicer_Name">#N/A</definedName>
    <definedName name="Slicer_Product_Name">#N/A</definedName>
    <definedName name="Slicer_Vendor_Name">#N/A</definedName>
  </definedNames>
  <calcPr calcId="191029"/>
  <pivotCaches>
    <pivotCache cacheId="0" r:id="rId10"/>
    <pivotCache cacheId="1" r:id="rId11"/>
    <pivotCache cacheId="2" r:id="rId12"/>
    <pivotCache cacheId="3" r:id="rId13"/>
    <pivotCache cacheId="4" r:id="rId14"/>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5"/>
        <x14:slicerCache r:id="rId16"/>
        <x14:slicerCache r:id="rId1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0" i="8" l="1"/>
  <c r="C19" i="9"/>
  <c r="C15" i="9"/>
  <c r="C11" i="9"/>
  <c r="E15" i="6"/>
  <c r="E15" i="8" s="1"/>
  <c r="C7" i="9"/>
  <c r="C3" i="9"/>
  <c r="F10" i="8"/>
  <c r="F11" i="8"/>
  <c r="F12" i="8"/>
  <c r="F13" i="8"/>
  <c r="F14" i="8"/>
  <c r="F15" i="8"/>
  <c r="F16" i="8"/>
  <c r="F17" i="8"/>
  <c r="F18" i="8"/>
  <c r="F19" i="8"/>
  <c r="F20" i="8"/>
  <c r="D14" i="8"/>
  <c r="D15" i="8"/>
  <c r="D16" i="8"/>
  <c r="D17" i="8"/>
  <c r="D18" i="8"/>
  <c r="D19" i="8"/>
  <c r="D20" i="8"/>
  <c r="D12" i="8"/>
  <c r="D13" i="8"/>
  <c r="D11" i="8"/>
  <c r="K10" i="7"/>
  <c r="K11" i="7"/>
  <c r="K12" i="7"/>
  <c r="K13" i="7"/>
  <c r="K14" i="7"/>
  <c r="K15" i="7"/>
  <c r="K16" i="7"/>
  <c r="K17" i="7"/>
  <c r="K18" i="7"/>
  <c r="K19" i="7"/>
  <c r="K20" i="7"/>
  <c r="K21" i="7"/>
  <c r="K22" i="7"/>
  <c r="K23" i="7"/>
  <c r="K24" i="7"/>
  <c r="K25" i="7"/>
  <c r="G10" i="7"/>
  <c r="G11" i="7"/>
  <c r="G12" i="7"/>
  <c r="G13" i="7"/>
  <c r="G14" i="7"/>
  <c r="G15" i="7"/>
  <c r="G16" i="7"/>
  <c r="G17" i="7"/>
  <c r="G18" i="7"/>
  <c r="G19" i="7"/>
  <c r="G20" i="7"/>
  <c r="G21" i="7"/>
  <c r="G22" i="7"/>
  <c r="G23" i="7"/>
  <c r="G24" i="7"/>
  <c r="G25" i="7"/>
  <c r="E10" i="7"/>
  <c r="E11" i="7"/>
  <c r="E12" i="7"/>
  <c r="E13" i="7"/>
  <c r="E14" i="7"/>
  <c r="E15" i="7"/>
  <c r="E16" i="7"/>
  <c r="E17" i="7"/>
  <c r="E18" i="7"/>
  <c r="E19" i="7"/>
  <c r="E20" i="7"/>
  <c r="E21" i="7"/>
  <c r="E22" i="7"/>
  <c r="E23" i="7"/>
  <c r="E24" i="7"/>
  <c r="E25" i="7"/>
  <c r="F10" i="6"/>
  <c r="F11" i="6"/>
  <c r="F12" i="6"/>
  <c r="F13" i="6"/>
  <c r="F14" i="6"/>
  <c r="F15" i="6"/>
  <c r="F16" i="6"/>
  <c r="F17" i="6"/>
  <c r="F18" i="6"/>
  <c r="F19" i="6"/>
  <c r="F20" i="6"/>
  <c r="F21" i="6"/>
  <c r="F22" i="6"/>
  <c r="F23" i="6"/>
  <c r="F24" i="6"/>
  <c r="I10" i="6"/>
  <c r="I11" i="6"/>
  <c r="I12" i="6"/>
  <c r="I13" i="6"/>
  <c r="I14" i="6"/>
  <c r="I15" i="6"/>
  <c r="I16" i="6"/>
  <c r="I17" i="6"/>
  <c r="I18" i="6"/>
  <c r="I19" i="6"/>
  <c r="I20" i="6"/>
  <c r="I21" i="6"/>
  <c r="I22" i="6"/>
  <c r="I23" i="6"/>
  <c r="I24" i="6"/>
  <c r="E10" i="6"/>
  <c r="E11" i="6"/>
  <c r="E12" i="6"/>
  <c r="E13" i="6"/>
  <c r="E14" i="6"/>
  <c r="E16" i="6"/>
  <c r="E17" i="6"/>
  <c r="E18" i="6"/>
  <c r="E19" i="6"/>
  <c r="E20" i="6"/>
  <c r="E21" i="6"/>
  <c r="E22" i="6"/>
  <c r="E23" i="6"/>
  <c r="E24" i="6"/>
  <c r="E16" i="8" l="1"/>
  <c r="G16" i="8" s="1"/>
  <c r="E17" i="8"/>
  <c r="E19" i="8"/>
  <c r="E18" i="8"/>
  <c r="E20" i="8"/>
  <c r="J11" i="6"/>
  <c r="J22" i="6"/>
  <c r="J12" i="6"/>
  <c r="E14" i="8"/>
  <c r="E12" i="8"/>
  <c r="H12" i="8" s="1"/>
  <c r="E13" i="8"/>
  <c r="G13" i="8" s="1"/>
  <c r="J14" i="6"/>
  <c r="J21" i="6"/>
  <c r="J24" i="6"/>
  <c r="E11" i="8"/>
  <c r="J10" i="6"/>
  <c r="J13" i="6"/>
  <c r="J15" i="6"/>
  <c r="J23" i="6"/>
  <c r="L12" i="7"/>
  <c r="L10" i="7"/>
  <c r="L13" i="7"/>
  <c r="L15" i="7"/>
  <c r="L17" i="7"/>
  <c r="L19" i="7"/>
  <c r="L20" i="7"/>
  <c r="L22" i="7"/>
  <c r="L25" i="7"/>
  <c r="L11" i="7"/>
  <c r="L14" i="7"/>
  <c r="L16" i="7"/>
  <c r="L18" i="7"/>
  <c r="L21" i="7"/>
  <c r="L23" i="7"/>
  <c r="L24" i="7"/>
  <c r="K15" i="8"/>
  <c r="K19" i="8"/>
  <c r="I10" i="7"/>
  <c r="I19" i="7"/>
  <c r="I20" i="7"/>
  <c r="I22" i="7"/>
  <c r="I23" i="7"/>
  <c r="I25" i="7"/>
  <c r="K12" i="8"/>
  <c r="K16" i="8"/>
  <c r="I18" i="7"/>
  <c r="I21" i="7"/>
  <c r="I24" i="7"/>
  <c r="H13" i="8"/>
  <c r="H16" i="8"/>
  <c r="K14" i="8"/>
  <c r="K13" i="8"/>
  <c r="K11" i="8"/>
  <c r="O18" i="1" s="1" a="1"/>
  <c r="K17" i="8"/>
  <c r="K18" i="8"/>
  <c r="K20" i="8"/>
  <c r="J10" i="8"/>
  <c r="C23" i="9"/>
  <c r="G15" i="8"/>
  <c r="H15" i="8"/>
  <c r="J20" i="6"/>
  <c r="J19" i="6"/>
  <c r="J18" i="6"/>
  <c r="J17" i="6"/>
  <c r="J16" i="6"/>
  <c r="G19" i="8" l="1"/>
  <c r="H19" i="8"/>
  <c r="G11" i="8"/>
  <c r="H11" i="8"/>
  <c r="H17" i="8"/>
  <c r="G17" i="8"/>
  <c r="H18" i="8"/>
  <c r="G18" i="8"/>
  <c r="I18" i="8" s="1"/>
  <c r="H20" i="8"/>
  <c r="G20" i="8"/>
  <c r="I20" i="8" s="1"/>
  <c r="H14" i="8"/>
  <c r="G12" i="8"/>
  <c r="G14" i="8"/>
  <c r="I13" i="8"/>
  <c r="L13" i="8" s="1"/>
  <c r="I16" i="8"/>
  <c r="L16" i="8" s="1"/>
  <c r="I17" i="8"/>
  <c r="L17" i="8" s="1"/>
  <c r="I19" i="8"/>
  <c r="I15" i="8"/>
  <c r="L15" i="8" s="1"/>
  <c r="I11" i="8" l="1"/>
  <c r="L18" i="8"/>
  <c r="J18" i="8"/>
  <c r="L20" i="8"/>
  <c r="J20" i="8"/>
  <c r="J19" i="8"/>
  <c r="L19" i="8"/>
  <c r="I12" i="8"/>
  <c r="L12" i="8" s="1"/>
  <c r="I11" i="7"/>
  <c r="J13" i="8"/>
  <c r="I13" i="7"/>
  <c r="I14" i="8"/>
  <c r="L14" i="8" s="1"/>
  <c r="I17" i="7"/>
  <c r="J17" i="8"/>
  <c r="I16" i="7"/>
  <c r="J16" i="8"/>
  <c r="J15" i="8"/>
  <c r="I15" i="7"/>
  <c r="L11" i="8" l="1"/>
  <c r="J11" i="8"/>
  <c r="I12" i="7"/>
  <c r="J12" i="8"/>
  <c r="I14" i="7"/>
  <c r="J14"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<sst xmlns="http://schemas.openxmlformats.org/spreadsheetml/2006/main" count="194" uniqueCount="97">
  <si>
    <t>Cust_ID</t>
  </si>
  <si>
    <t>Name</t>
  </si>
  <si>
    <t>Email</t>
  </si>
  <si>
    <t>Address</t>
  </si>
  <si>
    <t>Ram@gmail.com</t>
  </si>
  <si>
    <t>Delhi, India</t>
  </si>
  <si>
    <t>121102, Palwal, HR</t>
  </si>
  <si>
    <t>MK Tech.</t>
  </si>
  <si>
    <t>MK@gmail.com</t>
  </si>
  <si>
    <t>Faridabad, 121101</t>
  </si>
  <si>
    <t>99store</t>
  </si>
  <si>
    <t>Agra, UP</t>
  </si>
  <si>
    <t>Rajesh Kumar</t>
  </si>
  <si>
    <t>New Delhi, 110011</t>
  </si>
  <si>
    <t>Amit</t>
  </si>
  <si>
    <t>Gurgaon, Sec-15</t>
  </si>
  <si>
    <t>Jain Tel.</t>
  </si>
  <si>
    <t>Janpath, New Delhi</t>
  </si>
  <si>
    <t>Ram Sales</t>
  </si>
  <si>
    <t>Atul Ltd</t>
  </si>
  <si>
    <t>99store@gmail.com</t>
  </si>
  <si>
    <t>Rajesh@gmail.com</t>
  </si>
  <si>
    <t>Amit@gmail.com</t>
  </si>
  <si>
    <t>Jain@gmail.com</t>
  </si>
  <si>
    <t>Atulgmail.com</t>
  </si>
  <si>
    <t>Adress</t>
  </si>
  <si>
    <t>Gurgao, Sec-15</t>
  </si>
  <si>
    <t>HSN Code</t>
  </si>
  <si>
    <t>N1001</t>
  </si>
  <si>
    <t>N1002</t>
  </si>
  <si>
    <t>N1003</t>
  </si>
  <si>
    <t>N1004</t>
  </si>
  <si>
    <t>N1005</t>
  </si>
  <si>
    <t>N1006</t>
  </si>
  <si>
    <t>N1007</t>
  </si>
  <si>
    <t>N1008</t>
  </si>
  <si>
    <t>N1009</t>
  </si>
  <si>
    <t>N1010</t>
  </si>
  <si>
    <t>Product Name</t>
  </si>
  <si>
    <t>Cost</t>
  </si>
  <si>
    <t>Selling Price</t>
  </si>
  <si>
    <t>Smart Watch</t>
  </si>
  <si>
    <t>Wireless Printer</t>
  </si>
  <si>
    <t>Desktop</t>
  </si>
  <si>
    <t>Mouse</t>
  </si>
  <si>
    <t>Rgb Keyboard</t>
  </si>
  <si>
    <t>Camera</t>
  </si>
  <si>
    <t>HeadPhones</t>
  </si>
  <si>
    <t>Speakers</t>
  </si>
  <si>
    <t>Tablets</t>
  </si>
  <si>
    <t>Vendor Name</t>
  </si>
  <si>
    <t>Tech99</t>
  </si>
  <si>
    <t>GG Traders</t>
  </si>
  <si>
    <t>Compac</t>
  </si>
  <si>
    <t>Phone</t>
  </si>
  <si>
    <t>Faridabad, 121102</t>
  </si>
  <si>
    <t>Faridabad, 121103</t>
  </si>
  <si>
    <t>Gurgaon, Sec-16</t>
  </si>
  <si>
    <t>Gurgaon, Sec-17</t>
  </si>
  <si>
    <t>Gurgaon, Sec-18</t>
  </si>
  <si>
    <t>New Delhi, 110012</t>
  </si>
  <si>
    <t>New Delhi, 110013</t>
  </si>
  <si>
    <t>New Delhi, 110014</t>
  </si>
  <si>
    <t>Laptop HP xyz i5</t>
  </si>
  <si>
    <t>Purchase Entry</t>
  </si>
  <si>
    <t>Sales Entry</t>
  </si>
  <si>
    <t>Vendor</t>
  </si>
  <si>
    <t>Date</t>
  </si>
  <si>
    <t>Units</t>
  </si>
  <si>
    <t>Amount</t>
  </si>
  <si>
    <t>Cust_Name</t>
  </si>
  <si>
    <t>Stocks(Units)</t>
  </si>
  <si>
    <t>Price</t>
  </si>
  <si>
    <t>P Units</t>
  </si>
  <si>
    <t>S Units</t>
  </si>
  <si>
    <t>Stock</t>
  </si>
  <si>
    <t>Stock Amt</t>
  </si>
  <si>
    <t>Count of Name</t>
  </si>
  <si>
    <t>Customers</t>
  </si>
  <si>
    <t>Count of Product Name</t>
  </si>
  <si>
    <t>Products</t>
  </si>
  <si>
    <t>Sum of Amount</t>
  </si>
  <si>
    <t>Purchase Amt</t>
  </si>
  <si>
    <t>Sale Amt</t>
  </si>
  <si>
    <t>Sum of Stock Amt</t>
  </si>
  <si>
    <t>Profit/Loss</t>
  </si>
  <si>
    <t>Row Labels</t>
  </si>
  <si>
    <t>Grand Total</t>
  </si>
  <si>
    <t>Sum of S Units</t>
  </si>
  <si>
    <t>Notification!</t>
  </si>
  <si>
    <t>Notification</t>
  </si>
  <si>
    <t>📞9812xxxxxx</t>
  </si>
  <si>
    <t>📞9813xxxxxx</t>
  </si>
  <si>
    <t>📞9814xxxxxx</t>
  </si>
  <si>
    <t>(blank)</t>
  </si>
  <si>
    <t>Sum of Stock</t>
  </si>
  <si>
    <t>Inventory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</si>
</sst>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8" x14ac:knownFonts="1">
    <font>
      <sz val="11"/>
      <color theme="1"/>
      <name val="Calibri"/>
      <family val="2"/>
      <scheme val="minor"/>
    </font>
    <font>
      <b/>
      <sz val="11"/>
      <color theme="1"/>
      <name val="Calibri"/>
      <family val="2"/>
      <scheme val="minor"/>
    </font>
    <font>
      <u/>
      <sz val="11"/>
      <color theme="10"/>
      <name val="Calibri"/>
      <family val="2"/>
      <scheme val="minor"/>
    </font>
    <font>
      <sz val="8"/>
      <name val="Calibri"/>
      <family val="2"/>
      <scheme val="minor"/>
    </font>
    <font>
      <b/>
      <sz val="18"/>
      <color theme="1"/>
      <name val="Calibri"/>
      <family val="2"/>
      <scheme val="minor"/>
    </font>
    <font>
      <sz val="16"/>
      <color theme="1"/>
      <name val="Calibri"/>
      <family val="2"/>
      <scheme val="minor"/>
    </font>
    <font>
      <sz val="18"/>
      <color theme="1"/>
      <name val="Calibri"/>
      <family val="2"/>
      <scheme val="minor"/>
    </font>
    <font>
      <b/>
      <u/>
      <sz val="18"/>
      <color theme="8" tint="-0.249977111117893"/>
      <name val="Calibri"/>
      <family val="2"/>
      <scheme val="minor"/>
    </font>
  </fonts>
  <fills count="5">
    <fill>
      <patternFill patternType="none"/>
    </fill>
    <fill>
      <patternFill patternType="gray125"/>
    </fill>
    <fill>
      <patternFill patternType="solid">
        <fgColor theme="2" tint="-9.9978637043366805E-2"/>
        <bgColor indexed="64"/>
      </patternFill>
    </fill>
    <fill>
      <patternFill patternType="solid">
        <fgColor theme="0"/>
        <bgColor indexed="64"/>
      </patternFill>
    </fill>
    <fill>
      <patternFill patternType="solid">
        <fgColor theme="7"/>
        <bgColor indexed="64"/>
      </patternFill>
    </fill>
  </fills>
  <borders count="3">
    <border>
      <left/>
      <right/>
      <top/>
      <bottom/>
      <diagonal/>
    </border>
    <border>
      <left/>
      <right/>
      <top/>
      <bottom style="thin">
        <color theme="1"/>
      </bottom>
      <diagonal/>
    </border>
    <border>
      <left/>
      <right/>
      <top style="thin">
        <color theme="1"/>
      </top>
      <bottom style="thin">
        <color theme="1"/>
      </bottom>
      <diagonal/>
    </border>
  </borders>
  <cellStyleXfs count="2">
    <xf numFmtId="0" fontId="0" fillId="0" borderId="0"/>
    <xf numFmtId="0" fontId="2" fillId="0" borderId="0" applyNumberFormat="0" applyFill="0" applyBorder="0" applyAlignment="0" applyProtection="0"/>
  </cellStyleXfs>
  <cellXfs count="23">
    <xf numFmtId="0" fontId="0" fillId="0" borderId="0" xfId="0"/>
    <xf numFmtId="0" fontId="0" fillId="2" borderId="0" xfId="0" applyFill="1"/>
    <xf numFmtId="0" fontId="0" fillId="3" borderId="0" xfId="0" applyFill="1"/>
    <xf numFmtId="0" fontId="0" fillId="2" borderId="0" xfId="0" applyFill="1" applyAlignment="1">
      <alignment horizontal="left"/>
    </xf>
    <xf numFmtId="164" fontId="0" fillId="0" borderId="0" xfId="0" applyNumberFormat="1"/>
    <xf numFmtId="0" fontId="0" fillId="0" borderId="0" xfId="0" pivotButton="1"/>
    <xf numFmtId="0" fontId="0" fillId="0" borderId="0" xfId="0" applyAlignment="1">
      <alignment horizontal="left"/>
    </xf>
    <xf numFmtId="0" fontId="0" fillId="4" borderId="0" xfId="0" applyFill="1"/>
    <xf numFmtId="0" fontId="1" fillId="4" borderId="0" xfId="0" applyFont="1" applyFill="1" applyAlignment="1">
      <alignment horizontal="left" vertical="center"/>
    </xf>
    <xf numFmtId="0" fontId="4" fillId="4" borderId="0" xfId="0" applyFont="1" applyFill="1"/>
    <xf numFmtId="0" fontId="1" fillId="3" borderId="0" xfId="0" applyFont="1" applyFill="1" applyAlignment="1">
      <alignment horizontal="left"/>
    </xf>
    <xf numFmtId="0" fontId="1" fillId="2" borderId="0" xfId="0" applyFont="1" applyFill="1"/>
    <xf numFmtId="0" fontId="5" fillId="2" borderId="0" xfId="0" applyFont="1" applyFill="1" applyAlignment="1">
      <alignment horizontal="left"/>
    </xf>
    <xf numFmtId="0" fontId="6" fillId="2" borderId="0" xfId="0" applyFont="1" applyFill="1" applyAlignment="1">
      <alignment horizontal="left"/>
    </xf>
    <xf numFmtId="0" fontId="4" fillId="2" borderId="2" xfId="0" applyFont="1" applyFill="1" applyBorder="1" applyAlignment="1">
      <alignment horizontal="left"/>
    </xf>
    <xf numFmtId="0" fontId="6" fillId="2" borderId="0" xfId="0" applyFont="1" applyFill="1"/>
    <xf numFmtId="0" fontId="6" fillId="2" borderId="1" xfId="0" applyFont="1" applyFill="1" applyBorder="1" applyAlignment="1">
      <alignment horizontal="left"/>
    </xf>
    <xf numFmtId="0" fontId="4" fillId="2" borderId="0" xfId="0" applyFont="1" applyFill="1"/>
    <xf numFmtId="0" fontId="7" fillId="2" borderId="0" xfId="1" applyFont="1" applyFill="1"/>
    <xf numFmtId="0" fontId="7" fillId="2" borderId="0" xfId="0" applyFont="1" applyFill="1"/>
    <xf numFmtId="14" fontId="5" fillId="2" borderId="0" xfId="0" applyNumberFormat="1" applyFont="1" applyFill="1" applyAlignment="1">
      <alignment horizontal="left"/>
    </xf>
    <xf numFmtId="14" fontId="6" fillId="2" borderId="0" xfId="0" applyNumberFormat="1" applyFont="1" applyFill="1" applyAlignment="1">
      <alignment horizontal="left"/>
    </xf>
    <xf numFmtId="0" fontId="4" fillId="2" borderId="0" xfId="0" applyFont="1" applyFill="1" applyAlignment="1">
      <alignment horizontal="left"/>
    </xf>
  </cellXfs>
  <cellStyles count="2">
    <cellStyle name="Hyperlink" xfId="1" builtinId="8"/>
    <cellStyle name="Normal" xfId="0" builtinId="0"/>
  </cellStyles>
  <dxfs count="50">
    <dxf>
      <font>
        <strike val="0"/>
        <outline val="0"/>
        <shadow val="0"/>
        <u val="none"/>
        <vertAlign val="baseline"/>
        <sz val="18"/>
        <color theme="1"/>
        <name val="Calibri"/>
        <family val="2"/>
        <scheme val="minor"/>
      </font>
      <numFmt numFmtId="0" formatCode="General"/>
      <fill>
        <patternFill patternType="solid">
          <fgColor indexed="64"/>
          <bgColor theme="2" tint="-9.9978637043366805E-2"/>
        </patternFill>
      </fill>
      <alignment horizontal="left" vertical="bottom" textRotation="0" wrapText="0" indent="0" justifyLastLine="0" shrinkToFit="0" readingOrder="0"/>
    </dxf>
    <dxf>
      <numFmt numFmtId="0" formatCode="General"/>
      <fill>
        <patternFill patternType="solid">
          <fgColor indexed="64"/>
          <bgColor theme="2" tint="-9.9978637043366805E-2"/>
        </patternFill>
      </fill>
      <alignment horizontal="left" vertical="bottom" textRotation="0" wrapText="0" indent="0" justifyLastLine="0" shrinkToFit="0" readingOrder="0"/>
    </dxf>
    <dxf>
      <font>
        <strike val="0"/>
        <outline val="0"/>
        <shadow val="0"/>
        <u val="none"/>
        <vertAlign val="baseline"/>
        <sz val="18"/>
        <color theme="1"/>
        <name val="Calibri"/>
        <family val="2"/>
        <scheme val="minor"/>
      </font>
      <numFmt numFmtId="0" formatCode="General"/>
      <fill>
        <patternFill patternType="solid">
          <fgColor indexed="64"/>
          <bgColor theme="2" tint="-9.9978637043366805E-2"/>
        </patternFill>
      </fill>
      <alignment horizontal="left" vertical="bottom" textRotation="0" wrapText="0" indent="0" justifyLastLine="0" shrinkToFit="0" readingOrder="0"/>
    </dxf>
    <dxf>
      <font>
        <strike val="0"/>
        <outline val="0"/>
        <shadow val="0"/>
        <u val="none"/>
        <vertAlign val="baseline"/>
        <sz val="18"/>
        <color theme="1"/>
        <name val="Calibri"/>
        <family val="2"/>
        <scheme val="minor"/>
      </font>
      <numFmt numFmtId="0" formatCode="General"/>
      <fill>
        <patternFill patternType="solid">
          <fgColor indexed="64"/>
          <bgColor theme="2" tint="-9.9978637043366805E-2"/>
        </patternFill>
      </fill>
      <alignment horizontal="left" vertical="bottom" textRotation="0" wrapText="0" indent="0" justifyLastLine="0" shrinkToFit="0" readingOrder="0"/>
    </dxf>
    <dxf>
      <font>
        <strike val="0"/>
        <outline val="0"/>
        <shadow val="0"/>
        <u val="none"/>
        <vertAlign val="baseline"/>
        <sz val="18"/>
        <color theme="1"/>
        <name val="Calibri"/>
        <family val="2"/>
        <scheme val="minor"/>
      </font>
      <numFmt numFmtId="0" formatCode="General"/>
      <fill>
        <patternFill patternType="solid">
          <fgColor indexed="64"/>
          <bgColor theme="2" tint="-9.9978637043366805E-2"/>
        </patternFill>
      </fill>
      <alignment horizontal="left" vertical="bottom" textRotation="0" wrapText="0" indent="0" justifyLastLine="0" shrinkToFit="0" readingOrder="0"/>
    </dxf>
    <dxf>
      <font>
        <strike val="0"/>
        <outline val="0"/>
        <shadow val="0"/>
        <u val="none"/>
        <vertAlign val="baseline"/>
        <sz val="18"/>
        <color theme="1"/>
        <name val="Calibri"/>
        <family val="2"/>
        <scheme val="minor"/>
      </font>
      <numFmt numFmtId="0" formatCode="General"/>
      <fill>
        <patternFill patternType="solid">
          <fgColor indexed="64"/>
          <bgColor theme="2" tint="-9.9978637043366805E-2"/>
        </patternFill>
      </fill>
      <alignment horizontal="left" vertical="bottom" textRotation="0" wrapText="0" indent="0" justifyLastLine="0" shrinkToFit="0" readingOrder="0"/>
    </dxf>
    <dxf>
      <font>
        <strike val="0"/>
        <outline val="0"/>
        <shadow val="0"/>
        <u val="none"/>
        <vertAlign val="baseline"/>
        <sz val="18"/>
        <color theme="1"/>
        <name val="Calibri"/>
        <family val="2"/>
        <scheme val="minor"/>
      </font>
      <numFmt numFmtId="0" formatCode="General"/>
      <fill>
        <patternFill patternType="solid">
          <fgColor indexed="64"/>
          <bgColor theme="2" tint="-9.9978637043366805E-2"/>
        </patternFill>
      </fill>
      <alignment horizontal="left" vertical="bottom" textRotation="0" wrapText="0" indent="0" justifyLastLine="0" shrinkToFit="0" readingOrder="0"/>
    </dxf>
    <dxf>
      <font>
        <strike val="0"/>
        <outline val="0"/>
        <shadow val="0"/>
        <u val="none"/>
        <vertAlign val="baseline"/>
        <sz val="18"/>
        <color theme="1"/>
        <name val="Calibri"/>
        <family val="2"/>
        <scheme val="minor"/>
      </font>
      <fill>
        <patternFill patternType="solid">
          <fgColor indexed="64"/>
          <bgColor theme="2" tint="-9.9978637043366805E-2"/>
        </patternFill>
      </fill>
      <alignment horizontal="left" vertical="bottom" textRotation="0" wrapText="0" indent="0" justifyLastLine="0" shrinkToFit="0" readingOrder="0"/>
    </dxf>
    <dxf>
      <font>
        <strike val="0"/>
        <outline val="0"/>
        <shadow val="0"/>
        <u val="none"/>
        <vertAlign val="baseline"/>
        <sz val="18"/>
        <color theme="1"/>
        <name val="Calibri"/>
        <family val="2"/>
        <scheme val="minor"/>
      </font>
      <fill>
        <patternFill patternType="solid">
          <fgColor indexed="64"/>
          <bgColor theme="2" tint="-9.9978637043366805E-2"/>
        </patternFill>
      </fill>
      <alignment horizontal="left" vertical="bottom" textRotation="0" wrapText="0" indent="0" justifyLastLine="0" shrinkToFit="0" readingOrder="0"/>
    </dxf>
    <dxf>
      <fill>
        <patternFill patternType="solid">
          <fgColor indexed="64"/>
          <bgColor theme="2" tint="-9.9978637043366805E-2"/>
        </patternFill>
      </fill>
      <alignment horizontal="left" vertical="bottom" textRotation="0" wrapText="0" indent="0" justifyLastLine="0" shrinkToFit="0" readingOrder="0"/>
    </dxf>
    <dxf>
      <fill>
        <patternFill patternType="solid">
          <fgColor indexed="64"/>
          <bgColor theme="2" tint="-9.9978637043366805E-2"/>
        </patternFill>
      </fill>
      <alignment horizontal="left" vertical="bottom" textRotation="0" wrapText="0" indent="0" justifyLastLine="0" shrinkToFit="0" readingOrder="0"/>
    </dxf>
    <dxf>
      <numFmt numFmtId="0" formatCode="General"/>
      <fill>
        <patternFill patternType="solid">
          <fgColor indexed="64"/>
          <bgColor theme="2" tint="-9.9978637043366805E-2"/>
        </patternFill>
      </fill>
      <alignment horizontal="left" vertical="bottom" textRotation="0" wrapText="0" indent="0" justifyLastLine="0" shrinkToFit="0" readingOrder="0"/>
    </dxf>
    <dxf>
      <numFmt numFmtId="0" formatCode="General"/>
      <fill>
        <patternFill patternType="solid">
          <fgColor indexed="64"/>
          <bgColor theme="2" tint="-9.9978637043366805E-2"/>
        </patternFill>
      </fill>
      <alignment horizontal="left" vertical="bottom" textRotation="0" wrapText="0" indent="0" justifyLastLine="0" shrinkToFit="0" readingOrder="0"/>
    </dxf>
    <dxf>
      <fill>
        <patternFill patternType="solid">
          <fgColor indexed="64"/>
          <bgColor theme="2" tint="-9.9978637043366805E-2"/>
        </patternFill>
      </fill>
      <alignment horizontal="left" vertical="bottom" textRotation="0" wrapText="0" indent="0" justifyLastLine="0" shrinkToFit="0" readingOrder="0"/>
    </dxf>
    <dxf>
      <numFmt numFmtId="0" formatCode="General"/>
      <fill>
        <patternFill patternType="solid">
          <fgColor indexed="64"/>
          <bgColor theme="2" tint="-9.9978637043366805E-2"/>
        </patternFill>
      </fill>
      <alignment horizontal="left" vertical="bottom" textRotation="0" wrapText="0" indent="0" justifyLastLine="0" shrinkToFit="0" readingOrder="0"/>
    </dxf>
    <dxf>
      <fill>
        <patternFill patternType="solid">
          <fgColor indexed="64"/>
          <bgColor theme="2" tint="-9.9978637043366805E-2"/>
        </patternFill>
      </fill>
      <alignment horizontal="left" vertical="bottom" textRotation="0" wrapText="0" indent="0" justifyLastLine="0" shrinkToFit="0" readingOrder="0"/>
    </dxf>
    <dxf>
      <numFmt numFmtId="0" formatCode="General"/>
      <fill>
        <patternFill patternType="solid">
          <fgColor indexed="64"/>
          <bgColor theme="2" tint="-9.9978637043366805E-2"/>
        </patternFill>
      </fill>
      <alignment horizontal="left" vertical="bottom" textRotation="0" wrapText="0" indent="0" justifyLastLine="0" shrinkToFit="0" readingOrder="0"/>
    </dxf>
    <dxf>
      <fill>
        <patternFill patternType="solid">
          <fgColor indexed="64"/>
          <bgColor theme="2" tint="-9.9978637043366805E-2"/>
        </patternFill>
      </fill>
      <alignment horizontal="left" vertical="bottom" textRotation="0" wrapText="0" indent="0" justifyLastLine="0" shrinkToFit="0" readingOrder="0"/>
    </dxf>
    <dxf>
      <numFmt numFmtId="0" formatCode="General"/>
      <fill>
        <patternFill patternType="solid">
          <fgColor indexed="64"/>
          <bgColor theme="2" tint="-9.9978637043366805E-2"/>
        </patternFill>
      </fill>
      <alignment horizontal="left" vertical="bottom" textRotation="0" wrapText="0" indent="0" justifyLastLine="0" shrinkToFit="0" readingOrder="0"/>
    </dxf>
    <dxf>
      <fill>
        <patternFill patternType="solid">
          <fgColor indexed="64"/>
          <bgColor theme="2" tint="-9.9978637043366805E-2"/>
        </patternFill>
      </fill>
      <alignment horizontal="left" vertical="bottom" textRotation="0" wrapText="0" indent="0" justifyLastLine="0" shrinkToFit="0" readingOrder="0"/>
    </dxf>
    <dxf>
      <fill>
        <patternFill patternType="solid">
          <fgColor indexed="64"/>
          <bgColor theme="2" tint="-9.9978637043366805E-2"/>
        </patternFill>
      </fill>
      <alignment horizontal="left" vertical="bottom" textRotation="0" wrapText="0" indent="0" justifyLastLine="0" shrinkToFit="0" readingOrder="0"/>
    </dxf>
    <dxf>
      <fill>
        <patternFill patternType="solid">
          <fgColor indexed="64"/>
          <bgColor theme="2" tint="-9.9978637043366805E-2"/>
        </patternFill>
      </fill>
      <alignment horizontal="left" vertical="bottom" textRotation="0" wrapText="0" indent="0" justifyLastLine="0" shrinkToFit="0" readingOrder="0"/>
    </dxf>
    <dxf>
      <font>
        <strike val="0"/>
        <outline val="0"/>
        <shadow val="0"/>
        <u val="none"/>
        <vertAlign val="baseline"/>
        <sz val="16"/>
        <color theme="1"/>
        <name val="Calibri"/>
        <family val="2"/>
        <scheme val="minor"/>
      </font>
      <numFmt numFmtId="0" formatCode="General"/>
      <fill>
        <patternFill patternType="solid">
          <fgColor indexed="64"/>
          <bgColor theme="2" tint="-9.9978637043366805E-2"/>
        </patternFill>
      </fill>
      <alignment horizontal="left" vertical="bottom" textRotation="0" wrapText="0" indent="0" justifyLastLine="0" shrinkToFit="0" readingOrder="0"/>
    </dxf>
    <dxf>
      <font>
        <strike val="0"/>
        <outline val="0"/>
        <shadow val="0"/>
        <u val="none"/>
        <vertAlign val="baseline"/>
        <sz val="16"/>
        <color theme="1"/>
        <name val="Calibri"/>
        <family val="2"/>
        <scheme val="minor"/>
      </font>
      <numFmt numFmtId="0" formatCode="General"/>
      <fill>
        <patternFill patternType="solid">
          <fgColor indexed="64"/>
          <bgColor theme="2" tint="-9.9978637043366805E-2"/>
        </patternFill>
      </fill>
      <alignment horizontal="left" vertical="bottom" textRotation="0" wrapText="0" indent="0" justifyLastLine="0" shrinkToFit="0" readingOrder="0"/>
    </dxf>
    <dxf>
      <font>
        <strike val="0"/>
        <outline val="0"/>
        <shadow val="0"/>
        <u val="none"/>
        <vertAlign val="baseline"/>
        <sz val="16"/>
        <color theme="1"/>
        <name val="Calibri"/>
        <family val="2"/>
        <scheme val="minor"/>
      </font>
      <fill>
        <patternFill patternType="solid">
          <fgColor indexed="64"/>
          <bgColor theme="2" tint="-9.9978637043366805E-2"/>
        </patternFill>
      </fill>
      <alignment horizontal="left" vertical="bottom" textRotation="0" wrapText="0" indent="0" justifyLastLine="0" shrinkToFit="0" readingOrder="0"/>
    </dxf>
    <dxf>
      <font>
        <strike val="0"/>
        <outline val="0"/>
        <shadow val="0"/>
        <u val="none"/>
        <vertAlign val="baseline"/>
        <sz val="16"/>
        <color theme="1"/>
        <name val="Calibri"/>
        <family val="2"/>
        <scheme val="minor"/>
      </font>
      <fill>
        <patternFill patternType="solid">
          <fgColor indexed="64"/>
          <bgColor theme="2" tint="-9.9978637043366805E-2"/>
        </patternFill>
      </fill>
      <alignment horizontal="left" vertical="bottom" textRotation="0" wrapText="0" indent="0" justifyLastLine="0" shrinkToFit="0" readingOrder="0"/>
    </dxf>
    <dxf>
      <font>
        <strike val="0"/>
        <outline val="0"/>
        <shadow val="0"/>
        <u val="none"/>
        <vertAlign val="baseline"/>
        <sz val="16"/>
        <color theme="1"/>
        <name val="Calibri"/>
        <family val="2"/>
        <scheme val="minor"/>
      </font>
      <numFmt numFmtId="0" formatCode="General"/>
      <fill>
        <patternFill patternType="solid">
          <fgColor indexed="64"/>
          <bgColor theme="2" tint="-9.9978637043366805E-2"/>
        </patternFill>
      </fill>
      <alignment horizontal="left" vertical="bottom" textRotation="0" wrapText="0" indent="0" justifyLastLine="0" shrinkToFit="0" readingOrder="0"/>
    </dxf>
    <dxf>
      <font>
        <strike val="0"/>
        <outline val="0"/>
        <shadow val="0"/>
        <u val="none"/>
        <vertAlign val="baseline"/>
        <sz val="16"/>
        <color theme="1"/>
        <name val="Calibri"/>
        <family val="2"/>
        <scheme val="minor"/>
      </font>
      <numFmt numFmtId="0" formatCode="General"/>
      <fill>
        <patternFill patternType="solid">
          <fgColor indexed="64"/>
          <bgColor theme="2" tint="-9.9978637043366805E-2"/>
        </patternFill>
      </fill>
      <alignment horizontal="left" vertical="bottom" textRotation="0" wrapText="0" indent="0" justifyLastLine="0" shrinkToFit="0" readingOrder="0"/>
    </dxf>
    <dxf>
      <font>
        <strike val="0"/>
        <outline val="0"/>
        <shadow val="0"/>
        <u val="none"/>
        <vertAlign val="baseline"/>
        <sz val="16"/>
        <color theme="1"/>
        <name val="Calibri"/>
        <family val="2"/>
        <scheme val="minor"/>
      </font>
      <fill>
        <patternFill patternType="solid">
          <fgColor indexed="64"/>
          <bgColor theme="2" tint="-9.9978637043366805E-2"/>
        </patternFill>
      </fill>
      <alignment horizontal="left" vertical="bottom" textRotation="0" wrapText="0" indent="0" justifyLastLine="0" shrinkToFit="0" readingOrder="0"/>
    </dxf>
    <dxf>
      <font>
        <strike val="0"/>
        <outline val="0"/>
        <shadow val="0"/>
        <u val="none"/>
        <vertAlign val="baseline"/>
        <sz val="16"/>
        <color theme="1"/>
        <name val="Calibri"/>
        <family val="2"/>
        <scheme val="minor"/>
      </font>
      <fill>
        <patternFill patternType="solid">
          <fgColor indexed="64"/>
          <bgColor theme="2" tint="-9.9978637043366805E-2"/>
        </patternFill>
      </fill>
      <alignment horizontal="left" vertical="bottom" textRotation="0" wrapText="0" indent="0" justifyLastLine="0" shrinkToFit="0" readingOrder="0"/>
    </dxf>
    <dxf>
      <font>
        <strike val="0"/>
        <outline val="0"/>
        <shadow val="0"/>
        <u val="none"/>
        <vertAlign val="baseline"/>
        <sz val="16"/>
        <color theme="1"/>
        <name val="Calibri"/>
        <family val="2"/>
        <scheme val="minor"/>
      </font>
      <fill>
        <patternFill patternType="solid">
          <fgColor indexed="64"/>
          <bgColor theme="2" tint="-9.9978637043366805E-2"/>
        </patternFill>
      </fill>
      <alignment horizontal="left" vertical="bottom" textRotation="0" wrapText="0" indent="0" justifyLastLine="0" shrinkToFit="0" readingOrder="0"/>
    </dxf>
    <dxf>
      <font>
        <strike val="0"/>
        <outline val="0"/>
        <shadow val="0"/>
        <u val="none"/>
        <vertAlign val="baseline"/>
        <sz val="18"/>
        <color theme="1"/>
        <name val="Calibri"/>
        <family val="2"/>
        <scheme val="minor"/>
      </font>
      <fill>
        <patternFill patternType="solid">
          <fgColor indexed="64"/>
          <bgColor theme="2" tint="-9.9978637043366805E-2"/>
        </patternFill>
      </fill>
    </dxf>
    <dxf>
      <font>
        <strike val="0"/>
        <outline val="0"/>
        <shadow val="0"/>
        <u val="none"/>
        <vertAlign val="baseline"/>
        <sz val="18"/>
        <color theme="1"/>
        <name val="Calibri"/>
        <family val="2"/>
        <scheme val="minor"/>
      </font>
      <fill>
        <patternFill patternType="solid">
          <fgColor indexed="64"/>
          <bgColor theme="2" tint="-9.9978637043366805E-2"/>
        </patternFill>
      </fill>
    </dxf>
    <dxf>
      <font>
        <strike val="0"/>
        <outline val="0"/>
        <shadow val="0"/>
        <u val="none"/>
        <vertAlign val="baseline"/>
        <sz val="18"/>
        <color theme="1"/>
        <name val="Calibri"/>
        <family val="2"/>
        <scheme val="minor"/>
      </font>
      <fill>
        <patternFill patternType="solid">
          <fgColor indexed="64"/>
          <bgColor theme="2" tint="-9.9978637043366805E-2"/>
        </patternFill>
      </fill>
    </dxf>
    <dxf>
      <font>
        <b val="0"/>
        <i val="0"/>
        <strike val="0"/>
        <condense val="0"/>
        <extend val="0"/>
        <outline val="0"/>
        <shadow val="0"/>
        <u val="none"/>
        <vertAlign val="baseline"/>
        <sz val="18"/>
        <color theme="1"/>
        <name val="Calibri"/>
        <family val="2"/>
        <scheme val="minor"/>
      </font>
      <fill>
        <patternFill patternType="solid">
          <fgColor indexed="64"/>
          <bgColor theme="2" tint="-9.9978637043366805E-2"/>
        </patternFill>
      </fill>
      <alignment horizontal="left" vertical="bottom" textRotation="0" wrapText="0" indent="0" justifyLastLine="0" shrinkToFit="0" readingOrder="0"/>
    </dxf>
    <dxf>
      <font>
        <b val="0"/>
        <i val="0"/>
        <strike val="0"/>
        <condense val="0"/>
        <extend val="0"/>
        <outline val="0"/>
        <shadow val="0"/>
        <u val="none"/>
        <vertAlign val="baseline"/>
        <sz val="18"/>
        <color theme="1"/>
        <name val="Calibri"/>
        <family val="2"/>
        <scheme val="minor"/>
      </font>
      <fill>
        <patternFill patternType="solid">
          <fgColor indexed="64"/>
          <bgColor theme="2" tint="-9.9978637043366805E-2"/>
        </patternFill>
      </fill>
      <alignment horizontal="left" vertical="bottom" textRotation="0" wrapText="0" indent="0" justifyLastLine="0" shrinkToFit="0" readingOrder="0"/>
    </dxf>
    <dxf>
      <font>
        <strike val="0"/>
        <outline val="0"/>
        <shadow val="0"/>
        <u val="none"/>
        <vertAlign val="baseline"/>
        <sz val="18"/>
        <color theme="1"/>
        <name val="Calibri"/>
        <family val="2"/>
        <scheme val="minor"/>
      </font>
      <fill>
        <patternFill patternType="solid">
          <fgColor indexed="64"/>
          <bgColor theme="2" tint="-9.9978637043366805E-2"/>
        </patternFill>
      </fill>
    </dxf>
    <dxf>
      <font>
        <strike val="0"/>
        <outline val="0"/>
        <shadow val="0"/>
        <u val="none"/>
        <vertAlign val="baseline"/>
        <sz val="18"/>
        <color theme="1"/>
        <name val="Calibri"/>
        <family val="2"/>
        <scheme val="minor"/>
      </font>
      <fill>
        <patternFill patternType="solid">
          <fgColor indexed="64"/>
          <bgColor theme="2" tint="-9.9978637043366805E-2"/>
        </patternFill>
      </fill>
    </dxf>
    <dxf>
      <font>
        <strike val="0"/>
        <outline val="0"/>
        <shadow val="0"/>
        <u val="none"/>
        <vertAlign val="baseline"/>
        <sz val="18"/>
        <color theme="1"/>
        <name val="Calibri"/>
        <family val="2"/>
        <scheme val="minor"/>
      </font>
      <fill>
        <patternFill patternType="solid">
          <fgColor indexed="64"/>
          <bgColor theme="2" tint="-9.9978637043366805E-2"/>
        </patternFill>
      </fill>
      <alignment horizontal="left" vertical="bottom" textRotation="0" wrapText="0" indent="0" justifyLastLine="0" shrinkToFit="0" readingOrder="0"/>
    </dxf>
    <dxf>
      <font>
        <strike val="0"/>
        <outline val="0"/>
        <shadow val="0"/>
        <u val="none"/>
        <vertAlign val="baseline"/>
        <sz val="18"/>
        <color theme="1"/>
        <name val="Calibri"/>
        <family val="2"/>
        <scheme val="minor"/>
      </font>
      <fill>
        <patternFill patternType="solid">
          <fgColor indexed="64"/>
          <bgColor theme="2" tint="-9.9978637043366805E-2"/>
        </patternFill>
      </fill>
      <alignment horizontal="left" vertical="bottom" textRotation="0" wrapText="0" indent="0" justifyLastLine="0" shrinkToFit="0" readingOrder="0"/>
    </dxf>
    <dxf>
      <font>
        <strike val="0"/>
        <outline val="0"/>
        <shadow val="0"/>
        <u val="none"/>
        <vertAlign val="baseline"/>
        <sz val="18"/>
        <color theme="1"/>
        <name val="Calibri"/>
        <family val="2"/>
        <scheme val="minor"/>
      </font>
      <fill>
        <patternFill patternType="solid">
          <fgColor indexed="64"/>
          <bgColor theme="2" tint="-9.9978637043366805E-2"/>
        </patternFill>
      </fill>
      <alignment horizontal="left" vertical="bottom" textRotation="0" wrapText="0" indent="0" justifyLastLine="0" shrinkToFit="0" readingOrder="0"/>
    </dxf>
    <dxf>
      <font>
        <strike val="0"/>
        <outline val="0"/>
        <shadow val="0"/>
        <u val="none"/>
        <vertAlign val="baseline"/>
        <sz val="18"/>
        <color theme="1"/>
        <name val="Calibri"/>
        <family val="2"/>
        <scheme val="minor"/>
      </font>
      <fill>
        <patternFill patternType="solid">
          <fgColor indexed="64"/>
          <bgColor theme="2" tint="-9.9978637043366805E-2"/>
        </patternFill>
      </fill>
      <alignment horizontal="left" vertical="bottom" textRotation="0" wrapText="0" indent="0" justifyLastLine="0" shrinkToFit="0" readingOrder="0"/>
    </dxf>
    <dxf>
      <font>
        <strike val="0"/>
        <outline val="0"/>
        <shadow val="0"/>
        <u val="none"/>
        <vertAlign val="baseline"/>
        <sz val="18"/>
        <color theme="1"/>
        <name val="Calibri"/>
        <family val="2"/>
        <scheme val="minor"/>
      </font>
      <fill>
        <patternFill patternType="solid">
          <fgColor indexed="64"/>
          <bgColor theme="2" tint="-9.9978637043366805E-2"/>
        </patternFill>
      </fill>
      <alignment horizontal="left" vertical="bottom" textRotation="0" wrapText="0" indent="0" justifyLastLine="0" shrinkToFit="0" readingOrder="0"/>
    </dxf>
    <dxf>
      <font>
        <strike val="0"/>
        <outline val="0"/>
        <shadow val="0"/>
        <u val="none"/>
        <vertAlign val="baseline"/>
        <sz val="18"/>
        <color theme="1"/>
        <name val="Calibri"/>
        <family val="2"/>
        <scheme val="minor"/>
      </font>
      <fill>
        <patternFill patternType="solid">
          <fgColor indexed="64"/>
          <bgColor theme="2" tint="-9.9978637043366805E-2"/>
        </patternFill>
      </fill>
      <alignment horizontal="left" vertical="bottom" textRotation="0" wrapText="0" indent="0" justifyLastLine="0" shrinkToFit="0" readingOrder="0"/>
    </dxf>
    <dxf>
      <font>
        <b val="0"/>
        <i val="0"/>
        <strike val="0"/>
        <condense val="0"/>
        <extend val="0"/>
        <outline val="0"/>
        <shadow val="0"/>
        <u val="none"/>
        <vertAlign val="baseline"/>
        <sz val="18"/>
        <color theme="1"/>
        <name val="Calibri"/>
        <family val="2"/>
        <scheme val="minor"/>
      </font>
      <fill>
        <patternFill patternType="solid">
          <fgColor indexed="64"/>
          <bgColor theme="2" tint="-9.9978637043366805E-2"/>
        </patternFill>
      </fill>
      <alignment horizontal="left" vertical="bottom" textRotation="0" wrapText="0" indent="0" justifyLastLine="0" shrinkToFit="0" readingOrder="0"/>
    </dxf>
    <dxf>
      <font>
        <b val="0"/>
        <i val="0"/>
        <strike val="0"/>
        <condense val="0"/>
        <extend val="0"/>
        <outline val="0"/>
        <shadow val="0"/>
        <u val="none"/>
        <vertAlign val="baseline"/>
        <sz val="18"/>
        <color theme="1"/>
        <name val="Calibri"/>
        <family val="2"/>
        <scheme val="minor"/>
      </font>
      <fill>
        <patternFill patternType="solid">
          <fgColor indexed="64"/>
          <bgColor theme="2" tint="-9.9978637043366805E-2"/>
        </patternFill>
      </fill>
      <alignment horizontal="left" vertical="bottom" textRotation="0" wrapText="0" indent="0" justifyLastLine="0" shrinkToFit="0" readingOrder="0"/>
    </dxf>
    <dxf>
      <font>
        <b val="0"/>
        <i val="0"/>
        <strike val="0"/>
        <condense val="0"/>
        <extend val="0"/>
        <outline val="0"/>
        <shadow val="0"/>
        <u val="none"/>
        <vertAlign val="baseline"/>
        <sz val="18"/>
        <color theme="1"/>
        <name val="Calibri"/>
        <family val="2"/>
        <scheme val="minor"/>
      </font>
      <fill>
        <patternFill patternType="solid">
          <fgColor indexed="64"/>
          <bgColor theme="2" tint="-9.9978637043366805E-2"/>
        </patternFill>
      </fill>
      <alignment horizontal="left" vertical="bottom" textRotation="0" wrapText="0" indent="0" justifyLastLine="0" shrinkToFit="0" readingOrder="0"/>
    </dxf>
    <dxf>
      <font>
        <b val="0"/>
        <i val="0"/>
        <strike val="0"/>
        <condense val="0"/>
        <extend val="0"/>
        <outline val="0"/>
        <shadow val="0"/>
        <u val="none"/>
        <vertAlign val="baseline"/>
        <sz val="18"/>
        <color theme="1"/>
        <name val="Calibri"/>
        <family val="2"/>
        <scheme val="minor"/>
      </font>
      <fill>
        <patternFill patternType="solid">
          <fgColor indexed="64"/>
          <bgColor theme="2" tint="-9.9978637043366805E-2"/>
        </patternFill>
      </fill>
      <alignment horizontal="left" vertical="bottom" textRotation="0" wrapText="0" indent="0" justifyLastLine="0" shrinkToFit="0" readingOrder="0"/>
    </dxf>
    <dxf>
      <font>
        <b val="0"/>
        <i val="0"/>
        <strike val="0"/>
        <condense val="0"/>
        <extend val="0"/>
        <outline val="0"/>
        <shadow val="0"/>
        <u val="none"/>
        <vertAlign val="baseline"/>
        <sz val="18"/>
        <color theme="1"/>
        <name val="Calibri"/>
        <family val="2"/>
        <scheme val="minor"/>
      </font>
      <fill>
        <patternFill patternType="solid">
          <fgColor indexed="64"/>
          <bgColor theme="2" tint="-9.9978637043366805E-2"/>
        </patternFill>
      </fill>
      <alignment horizontal="left" vertical="bottom" textRotation="0" wrapText="0" indent="0" justifyLastLine="0" shrinkToFit="0" readingOrder="0"/>
    </dxf>
    <dxf>
      <font>
        <b val="0"/>
        <i val="0"/>
        <strike val="0"/>
        <condense val="0"/>
        <extend val="0"/>
        <outline val="0"/>
        <shadow val="0"/>
        <u val="none"/>
        <vertAlign val="baseline"/>
        <sz val="18"/>
        <color theme="1"/>
        <name val="Calibri"/>
        <family val="2"/>
        <scheme val="minor"/>
      </font>
      <fill>
        <patternFill patternType="solid">
          <fgColor indexed="64"/>
          <bgColor theme="2" tint="-9.9978637043366805E-2"/>
        </patternFill>
      </fill>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 System.xlsx]Pivots!PivotTable6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Selling Products</a:t>
            </a:r>
            <a:endParaRPr lang="en-US"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Pivots!$H$2</c:f>
              <c:strCache>
                <c:ptCount val="1"/>
                <c:pt idx="0">
                  <c:v>Total</c:v>
                </c:pt>
              </c:strCache>
            </c:strRef>
          </c:tx>
          <c:spPr>
            <a:solidFill>
              <a:srgbClr val="0070C0"/>
            </a:solidFill>
            <a:ln>
              <a:noFill/>
            </a:ln>
            <a:effectLst/>
          </c:spPr>
          <c:invertIfNegative val="0"/>
          <c:cat>
            <c:strRef>
              <c:f>Pivots!$G$3:$G$8</c:f>
              <c:strCache>
                <c:ptCount val="5"/>
                <c:pt idx="0">
                  <c:v>Desktop</c:v>
                </c:pt>
                <c:pt idx="1">
                  <c:v>Rgb Keyboard</c:v>
                </c:pt>
                <c:pt idx="2">
                  <c:v>Wireless Printer</c:v>
                </c:pt>
                <c:pt idx="3">
                  <c:v>Mouse</c:v>
                </c:pt>
                <c:pt idx="4">
                  <c:v>Smart Watch</c:v>
                </c:pt>
              </c:strCache>
            </c:strRef>
          </c:cat>
          <c:val>
            <c:numRef>
              <c:f>Pivots!$H$3:$H$8</c:f>
              <c:numCache>
                <c:formatCode>General</c:formatCode>
                <c:ptCount val="5"/>
                <c:pt idx="0">
                  <c:v>6</c:v>
                </c:pt>
                <c:pt idx="1">
                  <c:v>6</c:v>
                </c:pt>
                <c:pt idx="2">
                  <c:v>3</c:v>
                </c:pt>
                <c:pt idx="3">
                  <c:v>2</c:v>
                </c:pt>
                <c:pt idx="4">
                  <c:v>2</c:v>
                </c:pt>
              </c:numCache>
            </c:numRef>
          </c:val>
          <c:extLst>
            <c:ext xmlns:c16="http://schemas.microsoft.com/office/drawing/2014/chart" uri="{C3380CC4-5D6E-409C-BE32-E72D297353CC}">
              <c16:uniqueId val="{00000000-143D-4523-8558-D7309D17420C}"/>
            </c:ext>
          </c:extLst>
        </c:ser>
        <c:dLbls>
          <c:showLegendKey val="0"/>
          <c:showVal val="0"/>
          <c:showCatName val="0"/>
          <c:showSerName val="0"/>
          <c:showPercent val="0"/>
          <c:showBubbleSize val="0"/>
        </c:dLbls>
        <c:gapWidth val="182"/>
        <c:axId val="1126078640"/>
        <c:axId val="1126100720"/>
      </c:barChart>
      <c:catAx>
        <c:axId val="1126078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100720"/>
        <c:crosses val="autoZero"/>
        <c:auto val="1"/>
        <c:lblAlgn val="ctr"/>
        <c:lblOffset val="100"/>
        <c:noMultiLvlLbl val="0"/>
      </c:catAx>
      <c:valAx>
        <c:axId val="11261007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078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 System.xlsx]Pivots!PivotTable7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Customers by Revenue</a:t>
            </a:r>
            <a:endParaRPr lang="en-US"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Pivots!$H$16</c:f>
              <c:strCache>
                <c:ptCount val="1"/>
                <c:pt idx="0">
                  <c:v>Total</c:v>
                </c:pt>
              </c:strCache>
            </c:strRef>
          </c:tx>
          <c:spPr>
            <a:solidFill>
              <a:schemeClr val="accent1"/>
            </a:solidFill>
            <a:ln>
              <a:noFill/>
            </a:ln>
            <a:effectLst/>
          </c:spPr>
          <c:invertIfNegative val="0"/>
          <c:cat>
            <c:strRef>
              <c:f>Pivots!$G$17:$G$22</c:f>
              <c:strCache>
                <c:ptCount val="5"/>
                <c:pt idx="0">
                  <c:v>99store</c:v>
                </c:pt>
                <c:pt idx="1">
                  <c:v>Jain Tel.</c:v>
                </c:pt>
                <c:pt idx="2">
                  <c:v>MK Tech.</c:v>
                </c:pt>
                <c:pt idx="3">
                  <c:v>Amit</c:v>
                </c:pt>
                <c:pt idx="4">
                  <c:v>Ram Sales</c:v>
                </c:pt>
              </c:strCache>
            </c:strRef>
          </c:cat>
          <c:val>
            <c:numRef>
              <c:f>Pivots!$H$17:$H$22</c:f>
              <c:numCache>
                <c:formatCode>General</c:formatCode>
                <c:ptCount val="5"/>
                <c:pt idx="0">
                  <c:v>151200</c:v>
                </c:pt>
                <c:pt idx="1">
                  <c:v>62400</c:v>
                </c:pt>
                <c:pt idx="2">
                  <c:v>16560</c:v>
                </c:pt>
                <c:pt idx="3">
                  <c:v>2448</c:v>
                </c:pt>
                <c:pt idx="4">
                  <c:v>2352</c:v>
                </c:pt>
              </c:numCache>
            </c:numRef>
          </c:val>
          <c:extLst>
            <c:ext xmlns:c16="http://schemas.microsoft.com/office/drawing/2014/chart" uri="{C3380CC4-5D6E-409C-BE32-E72D297353CC}">
              <c16:uniqueId val="{00000000-5480-4564-88EA-DB402FE03ECC}"/>
            </c:ext>
          </c:extLst>
        </c:ser>
        <c:dLbls>
          <c:showLegendKey val="0"/>
          <c:showVal val="0"/>
          <c:showCatName val="0"/>
          <c:showSerName val="0"/>
          <c:showPercent val="0"/>
          <c:showBubbleSize val="0"/>
        </c:dLbls>
        <c:gapWidth val="182"/>
        <c:axId val="1103520896"/>
        <c:axId val="1103521856"/>
      </c:barChart>
      <c:catAx>
        <c:axId val="11035208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521856"/>
        <c:crosses val="autoZero"/>
        <c:auto val="1"/>
        <c:lblAlgn val="ctr"/>
        <c:lblOffset val="100"/>
        <c:noMultiLvlLbl val="0"/>
      </c:catAx>
      <c:valAx>
        <c:axId val="110352185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520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 System.xlsx]Pivots!PivotTable8</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Pivots!$M$2</c:f>
              <c:strCache>
                <c:ptCount val="1"/>
                <c:pt idx="0">
                  <c:v>Total</c:v>
                </c:pt>
              </c:strCache>
            </c:strRef>
          </c:tx>
          <c:spPr>
            <a:solidFill>
              <a:schemeClr val="accent1"/>
            </a:solidFill>
            <a:ln>
              <a:noFill/>
            </a:ln>
            <a:effectLst/>
          </c:spPr>
          <c:invertIfNegative val="0"/>
          <c:cat>
            <c:strRef>
              <c:f>Pivots!$L$3:$L$14</c:f>
              <c:strCache>
                <c:ptCount val="11"/>
                <c:pt idx="0">
                  <c:v>Camera</c:v>
                </c:pt>
                <c:pt idx="1">
                  <c:v>Desktop</c:v>
                </c:pt>
                <c:pt idx="2">
                  <c:v>HeadPhones</c:v>
                </c:pt>
                <c:pt idx="3">
                  <c:v>Laptop HP xyz i5</c:v>
                </c:pt>
                <c:pt idx="4">
                  <c:v>Mouse</c:v>
                </c:pt>
                <c:pt idx="5">
                  <c:v>Rgb Keyboard</c:v>
                </c:pt>
                <c:pt idx="6">
                  <c:v>Smart Watch</c:v>
                </c:pt>
                <c:pt idx="7">
                  <c:v>Speakers</c:v>
                </c:pt>
                <c:pt idx="8">
                  <c:v>Tablets</c:v>
                </c:pt>
                <c:pt idx="9">
                  <c:v>Wireless Printer</c:v>
                </c:pt>
                <c:pt idx="10">
                  <c:v>(blank)</c:v>
                </c:pt>
              </c:strCache>
            </c:strRef>
          </c:cat>
          <c:val>
            <c:numRef>
              <c:f>Pivots!$M$3:$M$14</c:f>
              <c:numCache>
                <c:formatCode>General</c:formatCode>
                <c:ptCount val="11"/>
                <c:pt idx="0">
                  <c:v>12</c:v>
                </c:pt>
                <c:pt idx="1">
                  <c:v>4</c:v>
                </c:pt>
                <c:pt idx="2">
                  <c:v>12</c:v>
                </c:pt>
                <c:pt idx="3">
                  <c:v>1</c:v>
                </c:pt>
                <c:pt idx="4">
                  <c:v>2</c:v>
                </c:pt>
                <c:pt idx="5">
                  <c:v>4</c:v>
                </c:pt>
                <c:pt idx="6">
                  <c:v>10</c:v>
                </c:pt>
                <c:pt idx="7">
                  <c:v>10</c:v>
                </c:pt>
                <c:pt idx="8">
                  <c:v>2</c:v>
                </c:pt>
                <c:pt idx="9">
                  <c:v>1</c:v>
                </c:pt>
              </c:numCache>
            </c:numRef>
          </c:val>
          <c:extLst>
            <c:ext xmlns:c16="http://schemas.microsoft.com/office/drawing/2014/chart" uri="{C3380CC4-5D6E-409C-BE32-E72D297353CC}">
              <c16:uniqueId val="{00000000-59DD-4EC1-9B2F-4393160C7D38}"/>
            </c:ext>
          </c:extLst>
        </c:ser>
        <c:dLbls>
          <c:showLegendKey val="0"/>
          <c:showVal val="0"/>
          <c:showCatName val="0"/>
          <c:showSerName val="0"/>
          <c:showPercent val="0"/>
          <c:showBubbleSize val="0"/>
        </c:dLbls>
        <c:gapWidth val="219"/>
        <c:overlap val="-27"/>
        <c:axId val="1088239680"/>
        <c:axId val="1088241600"/>
      </c:barChart>
      <c:catAx>
        <c:axId val="10882396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241600"/>
        <c:crosses val="autoZero"/>
        <c:auto val="1"/>
        <c:lblAlgn val="ctr"/>
        <c:lblOffset val="100"/>
        <c:noMultiLvlLbl val="0"/>
      </c:catAx>
      <c:valAx>
        <c:axId val="1088241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2396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Purchase!A1"/><Relationship Id="rId13" Type="http://schemas.openxmlformats.org/officeDocument/2006/relationships/image" Target="../media/image5.png"/><Relationship Id="rId18" Type="http://schemas.openxmlformats.org/officeDocument/2006/relationships/image" Target="../media/image10.svg"/><Relationship Id="rId26" Type="http://schemas.openxmlformats.org/officeDocument/2006/relationships/image" Target="../media/image18.svg"/><Relationship Id="rId3" Type="http://schemas.openxmlformats.org/officeDocument/2006/relationships/hyperlink" Target="#Dashboard!A1"/><Relationship Id="rId21" Type="http://schemas.openxmlformats.org/officeDocument/2006/relationships/image" Target="../media/image13.png"/><Relationship Id="rId7" Type="http://schemas.openxmlformats.org/officeDocument/2006/relationships/hyperlink" Target="#NewEntry!A1"/><Relationship Id="rId12" Type="http://schemas.openxmlformats.org/officeDocument/2006/relationships/image" Target="../media/image4.svg"/><Relationship Id="rId17" Type="http://schemas.openxmlformats.org/officeDocument/2006/relationships/image" Target="../media/image9.png"/><Relationship Id="rId25" Type="http://schemas.openxmlformats.org/officeDocument/2006/relationships/image" Target="../media/image17.png"/><Relationship Id="rId2" Type="http://schemas.openxmlformats.org/officeDocument/2006/relationships/image" Target="../media/image2.svg"/><Relationship Id="rId16" Type="http://schemas.openxmlformats.org/officeDocument/2006/relationships/image" Target="../media/image8.svg"/><Relationship Id="rId20" Type="http://schemas.openxmlformats.org/officeDocument/2006/relationships/image" Target="../media/image12.svg"/><Relationship Id="rId29" Type="http://schemas.openxmlformats.org/officeDocument/2006/relationships/chart" Target="../charts/chart3.xml"/><Relationship Id="rId1" Type="http://schemas.openxmlformats.org/officeDocument/2006/relationships/image" Target="../media/image1.png"/><Relationship Id="rId6" Type="http://schemas.openxmlformats.org/officeDocument/2006/relationships/hyperlink" Target="#Vendors!A1"/><Relationship Id="rId11" Type="http://schemas.openxmlformats.org/officeDocument/2006/relationships/image" Target="../media/image3.png"/><Relationship Id="rId24" Type="http://schemas.openxmlformats.org/officeDocument/2006/relationships/image" Target="../media/image16.svg"/><Relationship Id="rId5" Type="http://schemas.openxmlformats.org/officeDocument/2006/relationships/hyperlink" Target="#Products!A1"/><Relationship Id="rId15" Type="http://schemas.openxmlformats.org/officeDocument/2006/relationships/image" Target="../media/image7.png"/><Relationship Id="rId23" Type="http://schemas.openxmlformats.org/officeDocument/2006/relationships/image" Target="../media/image15.png"/><Relationship Id="rId28" Type="http://schemas.openxmlformats.org/officeDocument/2006/relationships/chart" Target="../charts/chart2.xml"/><Relationship Id="rId10" Type="http://schemas.openxmlformats.org/officeDocument/2006/relationships/hyperlink" Target="#Inventory!A1"/><Relationship Id="rId19" Type="http://schemas.openxmlformats.org/officeDocument/2006/relationships/image" Target="../media/image11.png"/><Relationship Id="rId4" Type="http://schemas.openxmlformats.org/officeDocument/2006/relationships/hyperlink" Target="#Customers!A1"/><Relationship Id="rId9" Type="http://schemas.openxmlformats.org/officeDocument/2006/relationships/hyperlink" Target="#Sales!A1"/><Relationship Id="rId14" Type="http://schemas.openxmlformats.org/officeDocument/2006/relationships/image" Target="../media/image6.svg"/><Relationship Id="rId22" Type="http://schemas.openxmlformats.org/officeDocument/2006/relationships/image" Target="../media/image14.svg"/><Relationship Id="rId27"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Purchase!A1"/><Relationship Id="rId13" Type="http://schemas.openxmlformats.org/officeDocument/2006/relationships/image" Target="../media/image5.png"/><Relationship Id="rId18" Type="http://schemas.openxmlformats.org/officeDocument/2006/relationships/image" Target="../media/image10.svg"/><Relationship Id="rId26" Type="http://schemas.openxmlformats.org/officeDocument/2006/relationships/image" Target="../media/image18.svg"/><Relationship Id="rId3" Type="http://schemas.openxmlformats.org/officeDocument/2006/relationships/hyperlink" Target="#Dashboard!A1"/><Relationship Id="rId21" Type="http://schemas.openxmlformats.org/officeDocument/2006/relationships/image" Target="../media/image13.png"/><Relationship Id="rId7" Type="http://schemas.openxmlformats.org/officeDocument/2006/relationships/hyperlink" Target="#NewEntry!A1"/><Relationship Id="rId12" Type="http://schemas.openxmlformats.org/officeDocument/2006/relationships/image" Target="../media/image4.svg"/><Relationship Id="rId17" Type="http://schemas.openxmlformats.org/officeDocument/2006/relationships/image" Target="../media/image9.png"/><Relationship Id="rId25" Type="http://schemas.openxmlformats.org/officeDocument/2006/relationships/image" Target="../media/image17.png"/><Relationship Id="rId2" Type="http://schemas.openxmlformats.org/officeDocument/2006/relationships/image" Target="../media/image2.svg"/><Relationship Id="rId16" Type="http://schemas.openxmlformats.org/officeDocument/2006/relationships/image" Target="../media/image8.svg"/><Relationship Id="rId20" Type="http://schemas.openxmlformats.org/officeDocument/2006/relationships/image" Target="../media/image12.svg"/><Relationship Id="rId1" Type="http://schemas.openxmlformats.org/officeDocument/2006/relationships/image" Target="../media/image1.png"/><Relationship Id="rId6" Type="http://schemas.openxmlformats.org/officeDocument/2006/relationships/hyperlink" Target="#Vendors!A1"/><Relationship Id="rId11" Type="http://schemas.openxmlformats.org/officeDocument/2006/relationships/image" Target="../media/image3.png"/><Relationship Id="rId24" Type="http://schemas.openxmlformats.org/officeDocument/2006/relationships/image" Target="../media/image20.svg"/><Relationship Id="rId5" Type="http://schemas.openxmlformats.org/officeDocument/2006/relationships/hyperlink" Target="#Products!A1"/><Relationship Id="rId15" Type="http://schemas.openxmlformats.org/officeDocument/2006/relationships/image" Target="../media/image7.png"/><Relationship Id="rId23" Type="http://schemas.openxmlformats.org/officeDocument/2006/relationships/image" Target="../media/image19.png"/><Relationship Id="rId10" Type="http://schemas.openxmlformats.org/officeDocument/2006/relationships/hyperlink" Target="#Inventory!A1"/><Relationship Id="rId19" Type="http://schemas.openxmlformats.org/officeDocument/2006/relationships/image" Target="../media/image11.png"/><Relationship Id="rId4" Type="http://schemas.openxmlformats.org/officeDocument/2006/relationships/hyperlink" Target="#Customers!A1"/><Relationship Id="rId9" Type="http://schemas.openxmlformats.org/officeDocument/2006/relationships/hyperlink" Target="#Sales!A1"/><Relationship Id="rId14" Type="http://schemas.openxmlformats.org/officeDocument/2006/relationships/image" Target="../media/image6.svg"/><Relationship Id="rId22" Type="http://schemas.openxmlformats.org/officeDocument/2006/relationships/image" Target="../media/image14.svg"/></Relationships>
</file>

<file path=xl/drawings/_rels/drawing3.xml.rels><?xml version="1.0" encoding="UTF-8" standalone="yes"?>
<Relationships xmlns="http://schemas.openxmlformats.org/package/2006/relationships"><Relationship Id="rId8" Type="http://schemas.openxmlformats.org/officeDocument/2006/relationships/hyperlink" Target="#Purchase!A1"/><Relationship Id="rId13" Type="http://schemas.openxmlformats.org/officeDocument/2006/relationships/image" Target="../media/image5.png"/><Relationship Id="rId18" Type="http://schemas.openxmlformats.org/officeDocument/2006/relationships/image" Target="../media/image22.svg"/><Relationship Id="rId26" Type="http://schemas.openxmlformats.org/officeDocument/2006/relationships/image" Target="../media/image18.svg"/><Relationship Id="rId3" Type="http://schemas.openxmlformats.org/officeDocument/2006/relationships/hyperlink" Target="#Dashboard!A1"/><Relationship Id="rId21" Type="http://schemas.openxmlformats.org/officeDocument/2006/relationships/image" Target="../media/image13.png"/><Relationship Id="rId7" Type="http://schemas.openxmlformats.org/officeDocument/2006/relationships/hyperlink" Target="#NewEntry!A1"/><Relationship Id="rId12" Type="http://schemas.openxmlformats.org/officeDocument/2006/relationships/image" Target="../media/image4.svg"/><Relationship Id="rId17" Type="http://schemas.openxmlformats.org/officeDocument/2006/relationships/image" Target="../media/image21.png"/><Relationship Id="rId25" Type="http://schemas.openxmlformats.org/officeDocument/2006/relationships/image" Target="../media/image17.png"/><Relationship Id="rId2" Type="http://schemas.openxmlformats.org/officeDocument/2006/relationships/image" Target="../media/image2.svg"/><Relationship Id="rId16" Type="http://schemas.openxmlformats.org/officeDocument/2006/relationships/image" Target="../media/image8.svg"/><Relationship Id="rId20" Type="http://schemas.openxmlformats.org/officeDocument/2006/relationships/image" Target="../media/image12.svg"/><Relationship Id="rId1" Type="http://schemas.openxmlformats.org/officeDocument/2006/relationships/image" Target="../media/image1.png"/><Relationship Id="rId6" Type="http://schemas.openxmlformats.org/officeDocument/2006/relationships/hyperlink" Target="#Vendors!A1"/><Relationship Id="rId11" Type="http://schemas.openxmlformats.org/officeDocument/2006/relationships/image" Target="../media/image3.png"/><Relationship Id="rId24" Type="http://schemas.openxmlformats.org/officeDocument/2006/relationships/image" Target="../media/image16.svg"/><Relationship Id="rId5" Type="http://schemas.openxmlformats.org/officeDocument/2006/relationships/hyperlink" Target="#Products!A1"/><Relationship Id="rId15" Type="http://schemas.openxmlformats.org/officeDocument/2006/relationships/image" Target="../media/image7.png"/><Relationship Id="rId23" Type="http://schemas.openxmlformats.org/officeDocument/2006/relationships/image" Target="../media/image15.png"/><Relationship Id="rId10" Type="http://schemas.openxmlformats.org/officeDocument/2006/relationships/hyperlink" Target="#Inventory!A1"/><Relationship Id="rId19" Type="http://schemas.openxmlformats.org/officeDocument/2006/relationships/image" Target="../media/image11.png"/><Relationship Id="rId4" Type="http://schemas.openxmlformats.org/officeDocument/2006/relationships/hyperlink" Target="#Customers!A1"/><Relationship Id="rId9" Type="http://schemas.openxmlformats.org/officeDocument/2006/relationships/hyperlink" Target="#Sales!A1"/><Relationship Id="rId14" Type="http://schemas.openxmlformats.org/officeDocument/2006/relationships/image" Target="../media/image6.svg"/><Relationship Id="rId22" Type="http://schemas.openxmlformats.org/officeDocument/2006/relationships/image" Target="../media/image14.svg"/></Relationships>
</file>

<file path=xl/drawings/_rels/drawing4.xml.rels><?xml version="1.0" encoding="UTF-8" standalone="yes"?>
<Relationships xmlns="http://schemas.openxmlformats.org/package/2006/relationships"><Relationship Id="rId8" Type="http://schemas.openxmlformats.org/officeDocument/2006/relationships/hyperlink" Target="#Purchase!A1"/><Relationship Id="rId13" Type="http://schemas.openxmlformats.org/officeDocument/2006/relationships/image" Target="../media/image5.png"/><Relationship Id="rId18" Type="http://schemas.openxmlformats.org/officeDocument/2006/relationships/image" Target="../media/image10.svg"/><Relationship Id="rId26" Type="http://schemas.openxmlformats.org/officeDocument/2006/relationships/image" Target="../media/image18.svg"/><Relationship Id="rId3" Type="http://schemas.openxmlformats.org/officeDocument/2006/relationships/hyperlink" Target="#Dashboard!A1"/><Relationship Id="rId21" Type="http://schemas.openxmlformats.org/officeDocument/2006/relationships/image" Target="../media/image13.png"/><Relationship Id="rId7" Type="http://schemas.openxmlformats.org/officeDocument/2006/relationships/hyperlink" Target="#NewEntry!A1"/><Relationship Id="rId12" Type="http://schemas.openxmlformats.org/officeDocument/2006/relationships/image" Target="../media/image4.svg"/><Relationship Id="rId17" Type="http://schemas.openxmlformats.org/officeDocument/2006/relationships/image" Target="../media/image9.png"/><Relationship Id="rId25" Type="http://schemas.openxmlformats.org/officeDocument/2006/relationships/image" Target="../media/image17.png"/><Relationship Id="rId2" Type="http://schemas.openxmlformats.org/officeDocument/2006/relationships/image" Target="../media/image2.svg"/><Relationship Id="rId16" Type="http://schemas.openxmlformats.org/officeDocument/2006/relationships/image" Target="../media/image8.svg"/><Relationship Id="rId20" Type="http://schemas.openxmlformats.org/officeDocument/2006/relationships/image" Target="../media/image24.svg"/><Relationship Id="rId1" Type="http://schemas.openxmlformats.org/officeDocument/2006/relationships/image" Target="../media/image1.png"/><Relationship Id="rId6" Type="http://schemas.openxmlformats.org/officeDocument/2006/relationships/hyperlink" Target="#Vendors!A1"/><Relationship Id="rId11" Type="http://schemas.openxmlformats.org/officeDocument/2006/relationships/image" Target="../media/image3.png"/><Relationship Id="rId24" Type="http://schemas.openxmlformats.org/officeDocument/2006/relationships/image" Target="../media/image16.svg"/><Relationship Id="rId5" Type="http://schemas.openxmlformats.org/officeDocument/2006/relationships/hyperlink" Target="#Products!A1"/><Relationship Id="rId15" Type="http://schemas.openxmlformats.org/officeDocument/2006/relationships/image" Target="../media/image7.png"/><Relationship Id="rId23" Type="http://schemas.openxmlformats.org/officeDocument/2006/relationships/image" Target="../media/image15.png"/><Relationship Id="rId10" Type="http://schemas.openxmlformats.org/officeDocument/2006/relationships/hyperlink" Target="#Inventory!A1"/><Relationship Id="rId19" Type="http://schemas.openxmlformats.org/officeDocument/2006/relationships/image" Target="../media/image23.png"/><Relationship Id="rId4" Type="http://schemas.openxmlformats.org/officeDocument/2006/relationships/hyperlink" Target="#Customers!A1"/><Relationship Id="rId9" Type="http://schemas.openxmlformats.org/officeDocument/2006/relationships/hyperlink" Target="#Sales!A1"/><Relationship Id="rId14" Type="http://schemas.openxmlformats.org/officeDocument/2006/relationships/image" Target="../media/image6.svg"/><Relationship Id="rId22" Type="http://schemas.openxmlformats.org/officeDocument/2006/relationships/image" Target="../media/image14.svg"/></Relationships>
</file>

<file path=xl/drawings/_rels/drawing5.xml.rels><?xml version="1.0" encoding="UTF-8" standalone="yes"?>
<Relationships xmlns="http://schemas.openxmlformats.org/package/2006/relationships"><Relationship Id="rId8" Type="http://schemas.openxmlformats.org/officeDocument/2006/relationships/hyperlink" Target="#Purchase!A1"/><Relationship Id="rId13" Type="http://schemas.openxmlformats.org/officeDocument/2006/relationships/image" Target="../media/image5.png"/><Relationship Id="rId18" Type="http://schemas.openxmlformats.org/officeDocument/2006/relationships/image" Target="../media/image10.svg"/><Relationship Id="rId26" Type="http://schemas.openxmlformats.org/officeDocument/2006/relationships/image" Target="../media/image18.svg"/><Relationship Id="rId3" Type="http://schemas.openxmlformats.org/officeDocument/2006/relationships/hyperlink" Target="#Dashboard!A1"/><Relationship Id="rId21" Type="http://schemas.openxmlformats.org/officeDocument/2006/relationships/image" Target="../media/image13.png"/><Relationship Id="rId7" Type="http://schemas.openxmlformats.org/officeDocument/2006/relationships/hyperlink" Target="#NewEntry!A1"/><Relationship Id="rId12" Type="http://schemas.openxmlformats.org/officeDocument/2006/relationships/image" Target="../media/image4.svg"/><Relationship Id="rId17" Type="http://schemas.openxmlformats.org/officeDocument/2006/relationships/image" Target="../media/image9.png"/><Relationship Id="rId25" Type="http://schemas.openxmlformats.org/officeDocument/2006/relationships/image" Target="../media/image17.png"/><Relationship Id="rId2" Type="http://schemas.openxmlformats.org/officeDocument/2006/relationships/image" Target="../media/image2.svg"/><Relationship Id="rId16" Type="http://schemas.openxmlformats.org/officeDocument/2006/relationships/image" Target="../media/image26.svg"/><Relationship Id="rId20" Type="http://schemas.openxmlformats.org/officeDocument/2006/relationships/image" Target="../media/image12.svg"/><Relationship Id="rId1" Type="http://schemas.openxmlformats.org/officeDocument/2006/relationships/image" Target="../media/image1.png"/><Relationship Id="rId6" Type="http://schemas.openxmlformats.org/officeDocument/2006/relationships/hyperlink" Target="#Vendors!A1"/><Relationship Id="rId11" Type="http://schemas.openxmlformats.org/officeDocument/2006/relationships/image" Target="../media/image3.png"/><Relationship Id="rId24" Type="http://schemas.openxmlformats.org/officeDocument/2006/relationships/image" Target="../media/image16.svg"/><Relationship Id="rId5" Type="http://schemas.openxmlformats.org/officeDocument/2006/relationships/hyperlink" Target="#Products!A1"/><Relationship Id="rId15" Type="http://schemas.openxmlformats.org/officeDocument/2006/relationships/image" Target="../media/image25.png"/><Relationship Id="rId23" Type="http://schemas.openxmlformats.org/officeDocument/2006/relationships/image" Target="../media/image15.png"/><Relationship Id="rId10" Type="http://schemas.openxmlformats.org/officeDocument/2006/relationships/hyperlink" Target="#Inventory!A1"/><Relationship Id="rId19" Type="http://schemas.openxmlformats.org/officeDocument/2006/relationships/image" Target="../media/image11.png"/><Relationship Id="rId4" Type="http://schemas.openxmlformats.org/officeDocument/2006/relationships/hyperlink" Target="#Customers!A1"/><Relationship Id="rId9" Type="http://schemas.openxmlformats.org/officeDocument/2006/relationships/hyperlink" Target="#Sales!A1"/><Relationship Id="rId14" Type="http://schemas.openxmlformats.org/officeDocument/2006/relationships/image" Target="../media/image6.svg"/><Relationship Id="rId22" Type="http://schemas.openxmlformats.org/officeDocument/2006/relationships/image" Target="../media/image14.svg"/></Relationships>
</file>

<file path=xl/drawings/_rels/drawing6.xml.rels><?xml version="1.0" encoding="UTF-8" standalone="yes"?>
<Relationships xmlns="http://schemas.openxmlformats.org/package/2006/relationships"><Relationship Id="rId8" Type="http://schemas.openxmlformats.org/officeDocument/2006/relationships/hyperlink" Target="#Purchase!A1"/><Relationship Id="rId13" Type="http://schemas.openxmlformats.org/officeDocument/2006/relationships/image" Target="../media/image27.png"/><Relationship Id="rId18" Type="http://schemas.openxmlformats.org/officeDocument/2006/relationships/image" Target="../media/image10.svg"/><Relationship Id="rId26" Type="http://schemas.openxmlformats.org/officeDocument/2006/relationships/image" Target="../media/image18.svg"/><Relationship Id="rId3" Type="http://schemas.openxmlformats.org/officeDocument/2006/relationships/hyperlink" Target="#Dashboard!A1"/><Relationship Id="rId21" Type="http://schemas.openxmlformats.org/officeDocument/2006/relationships/image" Target="../media/image13.png"/><Relationship Id="rId7" Type="http://schemas.openxmlformats.org/officeDocument/2006/relationships/hyperlink" Target="#NewEntry!A1"/><Relationship Id="rId12" Type="http://schemas.openxmlformats.org/officeDocument/2006/relationships/image" Target="../media/image4.svg"/><Relationship Id="rId17" Type="http://schemas.openxmlformats.org/officeDocument/2006/relationships/image" Target="../media/image9.png"/><Relationship Id="rId25" Type="http://schemas.openxmlformats.org/officeDocument/2006/relationships/image" Target="../media/image17.png"/><Relationship Id="rId2" Type="http://schemas.openxmlformats.org/officeDocument/2006/relationships/image" Target="../media/image2.svg"/><Relationship Id="rId16" Type="http://schemas.openxmlformats.org/officeDocument/2006/relationships/image" Target="../media/image8.svg"/><Relationship Id="rId20" Type="http://schemas.openxmlformats.org/officeDocument/2006/relationships/image" Target="../media/image12.svg"/><Relationship Id="rId1" Type="http://schemas.openxmlformats.org/officeDocument/2006/relationships/image" Target="../media/image1.png"/><Relationship Id="rId6" Type="http://schemas.openxmlformats.org/officeDocument/2006/relationships/hyperlink" Target="#Vendors!A1"/><Relationship Id="rId11" Type="http://schemas.openxmlformats.org/officeDocument/2006/relationships/image" Target="../media/image3.png"/><Relationship Id="rId24" Type="http://schemas.openxmlformats.org/officeDocument/2006/relationships/image" Target="../media/image16.svg"/><Relationship Id="rId5" Type="http://schemas.openxmlformats.org/officeDocument/2006/relationships/hyperlink" Target="#Products!A1"/><Relationship Id="rId15" Type="http://schemas.openxmlformats.org/officeDocument/2006/relationships/image" Target="../media/image7.png"/><Relationship Id="rId23" Type="http://schemas.openxmlformats.org/officeDocument/2006/relationships/image" Target="../media/image15.png"/><Relationship Id="rId10" Type="http://schemas.openxmlformats.org/officeDocument/2006/relationships/hyperlink" Target="#Inventory!A1"/><Relationship Id="rId19" Type="http://schemas.openxmlformats.org/officeDocument/2006/relationships/image" Target="../media/image11.png"/><Relationship Id="rId4" Type="http://schemas.openxmlformats.org/officeDocument/2006/relationships/hyperlink" Target="#Customers!A1"/><Relationship Id="rId9" Type="http://schemas.openxmlformats.org/officeDocument/2006/relationships/hyperlink" Target="#Sales!A1"/><Relationship Id="rId14" Type="http://schemas.openxmlformats.org/officeDocument/2006/relationships/image" Target="../media/image28.svg"/><Relationship Id="rId22" Type="http://schemas.openxmlformats.org/officeDocument/2006/relationships/image" Target="../media/image14.svg"/></Relationships>
</file>

<file path=xl/drawings/_rels/drawing7.xml.rels><?xml version="1.0" encoding="UTF-8" standalone="yes"?>
<Relationships xmlns="http://schemas.openxmlformats.org/package/2006/relationships"><Relationship Id="rId8" Type="http://schemas.openxmlformats.org/officeDocument/2006/relationships/hyperlink" Target="#Purchase!A1"/><Relationship Id="rId13" Type="http://schemas.openxmlformats.org/officeDocument/2006/relationships/image" Target="../media/image5.png"/><Relationship Id="rId18" Type="http://schemas.openxmlformats.org/officeDocument/2006/relationships/image" Target="../media/image10.svg"/><Relationship Id="rId26" Type="http://schemas.openxmlformats.org/officeDocument/2006/relationships/image" Target="../media/image30.svg"/><Relationship Id="rId3" Type="http://schemas.openxmlformats.org/officeDocument/2006/relationships/hyperlink" Target="#Dashboard!A1"/><Relationship Id="rId21" Type="http://schemas.openxmlformats.org/officeDocument/2006/relationships/image" Target="../media/image13.png"/><Relationship Id="rId7" Type="http://schemas.openxmlformats.org/officeDocument/2006/relationships/hyperlink" Target="#NewEntry!A1"/><Relationship Id="rId12" Type="http://schemas.openxmlformats.org/officeDocument/2006/relationships/image" Target="../media/image4.svg"/><Relationship Id="rId17" Type="http://schemas.openxmlformats.org/officeDocument/2006/relationships/image" Target="../media/image9.png"/><Relationship Id="rId25" Type="http://schemas.openxmlformats.org/officeDocument/2006/relationships/image" Target="../media/image29.png"/><Relationship Id="rId2" Type="http://schemas.openxmlformats.org/officeDocument/2006/relationships/image" Target="../media/image2.svg"/><Relationship Id="rId16" Type="http://schemas.openxmlformats.org/officeDocument/2006/relationships/image" Target="../media/image8.svg"/><Relationship Id="rId20" Type="http://schemas.openxmlformats.org/officeDocument/2006/relationships/image" Target="../media/image12.svg"/><Relationship Id="rId1" Type="http://schemas.openxmlformats.org/officeDocument/2006/relationships/image" Target="../media/image1.png"/><Relationship Id="rId6" Type="http://schemas.openxmlformats.org/officeDocument/2006/relationships/hyperlink" Target="#Vendors!A1"/><Relationship Id="rId11" Type="http://schemas.openxmlformats.org/officeDocument/2006/relationships/image" Target="../media/image3.png"/><Relationship Id="rId24" Type="http://schemas.openxmlformats.org/officeDocument/2006/relationships/image" Target="../media/image16.svg"/><Relationship Id="rId5" Type="http://schemas.openxmlformats.org/officeDocument/2006/relationships/hyperlink" Target="#Products!A1"/><Relationship Id="rId15" Type="http://schemas.openxmlformats.org/officeDocument/2006/relationships/image" Target="../media/image7.png"/><Relationship Id="rId23" Type="http://schemas.openxmlformats.org/officeDocument/2006/relationships/image" Target="../media/image15.png"/><Relationship Id="rId10" Type="http://schemas.openxmlformats.org/officeDocument/2006/relationships/hyperlink" Target="#Inventory!A1"/><Relationship Id="rId19" Type="http://schemas.openxmlformats.org/officeDocument/2006/relationships/image" Target="../media/image11.png"/><Relationship Id="rId4" Type="http://schemas.openxmlformats.org/officeDocument/2006/relationships/hyperlink" Target="#Customers!A1"/><Relationship Id="rId9" Type="http://schemas.openxmlformats.org/officeDocument/2006/relationships/hyperlink" Target="#Sales!A1"/><Relationship Id="rId14" Type="http://schemas.openxmlformats.org/officeDocument/2006/relationships/image" Target="../media/image6.svg"/><Relationship Id="rId22" Type="http://schemas.openxmlformats.org/officeDocument/2006/relationships/image" Target="../media/image14.svg"/></Relationships>
</file>

<file path=xl/drawings/_rels/drawing8.xml.rels><?xml version="1.0" encoding="UTF-8" standalone="yes"?>
<Relationships xmlns="http://schemas.openxmlformats.org/package/2006/relationships"><Relationship Id="rId8" Type="http://schemas.openxmlformats.org/officeDocument/2006/relationships/hyperlink" Target="#Purchase!A1"/><Relationship Id="rId13" Type="http://schemas.openxmlformats.org/officeDocument/2006/relationships/image" Target="../media/image5.png"/><Relationship Id="rId18" Type="http://schemas.openxmlformats.org/officeDocument/2006/relationships/image" Target="../media/image10.svg"/><Relationship Id="rId26" Type="http://schemas.openxmlformats.org/officeDocument/2006/relationships/image" Target="../media/image18.svg"/><Relationship Id="rId3" Type="http://schemas.openxmlformats.org/officeDocument/2006/relationships/hyperlink" Target="#Dashboard!A1"/><Relationship Id="rId21" Type="http://schemas.openxmlformats.org/officeDocument/2006/relationships/image" Target="../media/image13.png"/><Relationship Id="rId7" Type="http://schemas.openxmlformats.org/officeDocument/2006/relationships/hyperlink" Target="#NewEntry!A1"/><Relationship Id="rId12" Type="http://schemas.openxmlformats.org/officeDocument/2006/relationships/image" Target="../media/image32.svg"/><Relationship Id="rId17" Type="http://schemas.openxmlformats.org/officeDocument/2006/relationships/image" Target="../media/image9.png"/><Relationship Id="rId25" Type="http://schemas.openxmlformats.org/officeDocument/2006/relationships/image" Target="../media/image17.png"/><Relationship Id="rId2" Type="http://schemas.openxmlformats.org/officeDocument/2006/relationships/image" Target="../media/image2.svg"/><Relationship Id="rId16" Type="http://schemas.openxmlformats.org/officeDocument/2006/relationships/image" Target="../media/image8.svg"/><Relationship Id="rId20" Type="http://schemas.openxmlformats.org/officeDocument/2006/relationships/image" Target="../media/image12.svg"/><Relationship Id="rId1" Type="http://schemas.openxmlformats.org/officeDocument/2006/relationships/image" Target="../media/image1.png"/><Relationship Id="rId6" Type="http://schemas.openxmlformats.org/officeDocument/2006/relationships/hyperlink" Target="#Vendors!A1"/><Relationship Id="rId11" Type="http://schemas.openxmlformats.org/officeDocument/2006/relationships/image" Target="../media/image31.png"/><Relationship Id="rId24" Type="http://schemas.openxmlformats.org/officeDocument/2006/relationships/image" Target="../media/image16.svg"/><Relationship Id="rId5" Type="http://schemas.openxmlformats.org/officeDocument/2006/relationships/hyperlink" Target="#Products!A1"/><Relationship Id="rId15" Type="http://schemas.openxmlformats.org/officeDocument/2006/relationships/image" Target="../media/image7.png"/><Relationship Id="rId23" Type="http://schemas.openxmlformats.org/officeDocument/2006/relationships/image" Target="../media/image15.png"/><Relationship Id="rId10" Type="http://schemas.openxmlformats.org/officeDocument/2006/relationships/hyperlink" Target="#Inventory!A1"/><Relationship Id="rId19" Type="http://schemas.openxmlformats.org/officeDocument/2006/relationships/image" Target="../media/image11.png"/><Relationship Id="rId4" Type="http://schemas.openxmlformats.org/officeDocument/2006/relationships/hyperlink" Target="#Customers!A1"/><Relationship Id="rId9" Type="http://schemas.openxmlformats.org/officeDocument/2006/relationships/hyperlink" Target="#Sales!A1"/><Relationship Id="rId14" Type="http://schemas.openxmlformats.org/officeDocument/2006/relationships/image" Target="../media/image6.svg"/><Relationship Id="rId22" Type="http://schemas.openxmlformats.org/officeDocument/2006/relationships/image" Target="../media/image14.svg"/></Relationships>
</file>

<file path=xl/drawings/drawing1.xml><?xml version="1.0" encoding="utf-8"?>
<xdr:wsDr xmlns:xdr="http://schemas.openxmlformats.org/drawingml/2006/spreadsheetDrawing" xmlns:a="http://schemas.openxmlformats.org/drawingml/2006/main">
  <xdr:twoCellAnchor editAs="absolute">
    <xdr:from>
      <xdr:col>1</xdr:col>
      <xdr:colOff>457200</xdr:colOff>
      <xdr:row>3</xdr:row>
      <xdr:rowOff>114300</xdr:rowOff>
    </xdr:from>
    <xdr:to>
      <xdr:col>1</xdr:col>
      <xdr:colOff>1082040</xdr:colOff>
      <xdr:row>7</xdr:row>
      <xdr:rowOff>7620</xdr:rowOff>
    </xdr:to>
    <xdr:pic>
      <xdr:nvPicPr>
        <xdr:cNvPr id="3" name="Graphic 2" descr="Target Audience with solid fill">
          <a:extLst>
            <a:ext uri="{FF2B5EF4-FFF2-40B4-BE49-F238E27FC236}">
              <a16:creationId xmlns:a16="http://schemas.microsoft.com/office/drawing/2014/main" id="{44D13832-9BD7-870F-0DF9-1056066A1C3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76300" y="662940"/>
          <a:ext cx="624840" cy="624840"/>
        </a:xfrm>
        <a:prstGeom prst="rect">
          <a:avLst/>
        </a:prstGeom>
      </xdr:spPr>
    </xdr:pic>
    <xdr:clientData/>
  </xdr:twoCellAnchor>
  <xdr:twoCellAnchor editAs="absolute">
    <xdr:from>
      <xdr:col>1</xdr:col>
      <xdr:colOff>22860</xdr:colOff>
      <xdr:row>6</xdr:row>
      <xdr:rowOff>129540</xdr:rowOff>
    </xdr:from>
    <xdr:to>
      <xdr:col>1</xdr:col>
      <xdr:colOff>1562100</xdr:colOff>
      <xdr:row>9</xdr:row>
      <xdr:rowOff>175260</xdr:rowOff>
    </xdr:to>
    <xdr:sp macro="" textlink="">
      <xdr:nvSpPr>
        <xdr:cNvPr id="7" name="Rectangle 6">
          <a:extLst>
            <a:ext uri="{FF2B5EF4-FFF2-40B4-BE49-F238E27FC236}">
              <a16:creationId xmlns:a16="http://schemas.microsoft.com/office/drawing/2014/main" id="{07949339-923F-17BF-49B4-302743C00F36}"/>
            </a:ext>
          </a:extLst>
        </xdr:cNvPr>
        <xdr:cNvSpPr/>
      </xdr:nvSpPr>
      <xdr:spPr>
        <a:xfrm>
          <a:off x="441960" y="1226820"/>
          <a:ext cx="1539240" cy="5943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Inventory Management System</a:t>
          </a:r>
        </a:p>
      </xdr:txBody>
    </xdr:sp>
    <xdr:clientData/>
  </xdr:twoCellAnchor>
  <xdr:twoCellAnchor editAs="absolute">
    <xdr:from>
      <xdr:col>1</xdr:col>
      <xdr:colOff>312420</xdr:colOff>
      <xdr:row>10</xdr:row>
      <xdr:rowOff>91440</xdr:rowOff>
    </xdr:from>
    <xdr:to>
      <xdr:col>1</xdr:col>
      <xdr:colOff>1303020</xdr:colOff>
      <xdr:row>12</xdr:row>
      <xdr:rowOff>99060</xdr:rowOff>
    </xdr:to>
    <xdr:sp macro="" textlink="">
      <xdr:nvSpPr>
        <xdr:cNvPr id="8" name="Rectangle 7">
          <a:hlinkClick xmlns:r="http://schemas.openxmlformats.org/officeDocument/2006/relationships" r:id="rId3"/>
          <a:extLst>
            <a:ext uri="{FF2B5EF4-FFF2-40B4-BE49-F238E27FC236}">
              <a16:creationId xmlns:a16="http://schemas.microsoft.com/office/drawing/2014/main" id="{E436BFAD-5868-0742-7595-D31CEC373EC4}"/>
            </a:ext>
          </a:extLst>
        </xdr:cNvPr>
        <xdr:cNvSpPr/>
      </xdr:nvSpPr>
      <xdr:spPr>
        <a:xfrm>
          <a:off x="731520" y="192024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bg2">
                  <a:lumMod val="75000"/>
                </a:schemeClr>
              </a:solidFill>
            </a:rPr>
            <a:t>Dashboard</a:t>
          </a:r>
        </a:p>
      </xdr:txBody>
    </xdr:sp>
    <xdr:clientData/>
  </xdr:twoCellAnchor>
  <xdr:twoCellAnchor editAs="absolute">
    <xdr:from>
      <xdr:col>1</xdr:col>
      <xdr:colOff>312420</xdr:colOff>
      <xdr:row>12</xdr:row>
      <xdr:rowOff>144780</xdr:rowOff>
    </xdr:from>
    <xdr:to>
      <xdr:col>1</xdr:col>
      <xdr:colOff>1303020</xdr:colOff>
      <xdr:row>14</xdr:row>
      <xdr:rowOff>152400</xdr:rowOff>
    </xdr:to>
    <xdr:sp macro="" textlink="">
      <xdr:nvSpPr>
        <xdr:cNvPr id="9" name="Rectangle 8">
          <a:hlinkClick xmlns:r="http://schemas.openxmlformats.org/officeDocument/2006/relationships" r:id="rId4"/>
          <a:extLst>
            <a:ext uri="{FF2B5EF4-FFF2-40B4-BE49-F238E27FC236}">
              <a16:creationId xmlns:a16="http://schemas.microsoft.com/office/drawing/2014/main" id="{87E3281D-4BA6-9795-EF02-EC648EB86602}"/>
            </a:ext>
          </a:extLst>
        </xdr:cNvPr>
        <xdr:cNvSpPr/>
      </xdr:nvSpPr>
      <xdr:spPr>
        <a:xfrm>
          <a:off x="731520" y="233934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bg2">
                  <a:lumMod val="75000"/>
                </a:schemeClr>
              </a:solidFill>
            </a:rPr>
            <a:t>Customers</a:t>
          </a:r>
        </a:p>
      </xdr:txBody>
    </xdr:sp>
    <xdr:clientData/>
  </xdr:twoCellAnchor>
  <xdr:twoCellAnchor editAs="absolute">
    <xdr:from>
      <xdr:col>1</xdr:col>
      <xdr:colOff>312420</xdr:colOff>
      <xdr:row>14</xdr:row>
      <xdr:rowOff>175260</xdr:rowOff>
    </xdr:from>
    <xdr:to>
      <xdr:col>1</xdr:col>
      <xdr:colOff>1303020</xdr:colOff>
      <xdr:row>17</xdr:row>
      <xdr:rowOff>0</xdr:rowOff>
    </xdr:to>
    <xdr:sp macro="" textlink="">
      <xdr:nvSpPr>
        <xdr:cNvPr id="10" name="Rectangle 9">
          <a:hlinkClick xmlns:r="http://schemas.openxmlformats.org/officeDocument/2006/relationships" r:id="rId5"/>
          <a:extLst>
            <a:ext uri="{FF2B5EF4-FFF2-40B4-BE49-F238E27FC236}">
              <a16:creationId xmlns:a16="http://schemas.microsoft.com/office/drawing/2014/main" id="{EABEA888-8CB9-D2BE-2E78-D3D18D6BCBDA}"/>
            </a:ext>
          </a:extLst>
        </xdr:cNvPr>
        <xdr:cNvSpPr/>
      </xdr:nvSpPr>
      <xdr:spPr>
        <a:xfrm>
          <a:off x="731520" y="273558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bg2">
                  <a:lumMod val="75000"/>
                </a:schemeClr>
              </a:solidFill>
            </a:rPr>
            <a:t>Products</a:t>
          </a:r>
        </a:p>
      </xdr:txBody>
    </xdr:sp>
    <xdr:clientData/>
  </xdr:twoCellAnchor>
  <xdr:twoCellAnchor editAs="absolute">
    <xdr:from>
      <xdr:col>1</xdr:col>
      <xdr:colOff>312420</xdr:colOff>
      <xdr:row>17</xdr:row>
      <xdr:rowOff>30480</xdr:rowOff>
    </xdr:from>
    <xdr:to>
      <xdr:col>1</xdr:col>
      <xdr:colOff>1303020</xdr:colOff>
      <xdr:row>19</xdr:row>
      <xdr:rowOff>38100</xdr:rowOff>
    </xdr:to>
    <xdr:sp macro="" textlink="">
      <xdr:nvSpPr>
        <xdr:cNvPr id="11" name="Rectangle 10">
          <a:hlinkClick xmlns:r="http://schemas.openxmlformats.org/officeDocument/2006/relationships" r:id="rId6"/>
          <a:extLst>
            <a:ext uri="{FF2B5EF4-FFF2-40B4-BE49-F238E27FC236}">
              <a16:creationId xmlns:a16="http://schemas.microsoft.com/office/drawing/2014/main" id="{3DE68D09-E397-FC8B-BC3F-1DBE020D4D6B}"/>
            </a:ext>
          </a:extLst>
        </xdr:cNvPr>
        <xdr:cNvSpPr/>
      </xdr:nvSpPr>
      <xdr:spPr>
        <a:xfrm>
          <a:off x="731520" y="313944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bg2">
                  <a:lumMod val="75000"/>
                </a:schemeClr>
              </a:solidFill>
            </a:rPr>
            <a:t>Vendors</a:t>
          </a:r>
        </a:p>
      </xdr:txBody>
    </xdr:sp>
    <xdr:clientData/>
  </xdr:twoCellAnchor>
  <xdr:twoCellAnchor editAs="absolute">
    <xdr:from>
      <xdr:col>1</xdr:col>
      <xdr:colOff>312420</xdr:colOff>
      <xdr:row>19</xdr:row>
      <xdr:rowOff>38100</xdr:rowOff>
    </xdr:from>
    <xdr:to>
      <xdr:col>1</xdr:col>
      <xdr:colOff>1303020</xdr:colOff>
      <xdr:row>21</xdr:row>
      <xdr:rowOff>45720</xdr:rowOff>
    </xdr:to>
    <xdr:sp macro="" textlink="">
      <xdr:nvSpPr>
        <xdr:cNvPr id="12" name="Rectangle 11">
          <a:hlinkClick xmlns:r="http://schemas.openxmlformats.org/officeDocument/2006/relationships" r:id="rId7"/>
          <a:extLst>
            <a:ext uri="{FF2B5EF4-FFF2-40B4-BE49-F238E27FC236}">
              <a16:creationId xmlns:a16="http://schemas.microsoft.com/office/drawing/2014/main" id="{ED56BBA2-5E25-9F72-359E-38157821FB7C}"/>
            </a:ext>
          </a:extLst>
        </xdr:cNvPr>
        <xdr:cNvSpPr/>
      </xdr:nvSpPr>
      <xdr:spPr>
        <a:xfrm>
          <a:off x="731520" y="351282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bg2">
                  <a:lumMod val="75000"/>
                </a:schemeClr>
              </a:solidFill>
            </a:rPr>
            <a:t>New</a:t>
          </a:r>
          <a:r>
            <a:rPr lang="en-IN" sz="1400" b="0" baseline="0">
              <a:solidFill>
                <a:schemeClr val="bg2">
                  <a:lumMod val="75000"/>
                </a:schemeClr>
              </a:solidFill>
            </a:rPr>
            <a:t> Entry</a:t>
          </a:r>
          <a:endParaRPr lang="en-IN" sz="1400" b="0">
            <a:solidFill>
              <a:schemeClr val="bg2">
                <a:lumMod val="75000"/>
              </a:schemeClr>
            </a:solidFill>
          </a:endParaRPr>
        </a:p>
      </xdr:txBody>
    </xdr:sp>
    <xdr:clientData/>
  </xdr:twoCellAnchor>
  <xdr:twoCellAnchor editAs="absolute">
    <xdr:from>
      <xdr:col>1</xdr:col>
      <xdr:colOff>312420</xdr:colOff>
      <xdr:row>21</xdr:row>
      <xdr:rowOff>106680</xdr:rowOff>
    </xdr:from>
    <xdr:to>
      <xdr:col>1</xdr:col>
      <xdr:colOff>1303020</xdr:colOff>
      <xdr:row>23</xdr:row>
      <xdr:rowOff>114300</xdr:rowOff>
    </xdr:to>
    <xdr:sp macro="" textlink="">
      <xdr:nvSpPr>
        <xdr:cNvPr id="13" name="Rectangle 12">
          <a:hlinkClick xmlns:r="http://schemas.openxmlformats.org/officeDocument/2006/relationships" r:id="rId8"/>
          <a:extLst>
            <a:ext uri="{FF2B5EF4-FFF2-40B4-BE49-F238E27FC236}">
              <a16:creationId xmlns:a16="http://schemas.microsoft.com/office/drawing/2014/main" id="{7556A959-55C9-B522-A0ED-DF5F362EAB4A}"/>
            </a:ext>
          </a:extLst>
        </xdr:cNvPr>
        <xdr:cNvSpPr/>
      </xdr:nvSpPr>
      <xdr:spPr>
        <a:xfrm>
          <a:off x="731520" y="394716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bg2">
                  <a:lumMod val="75000"/>
                </a:schemeClr>
              </a:solidFill>
            </a:rPr>
            <a:t>Purchase</a:t>
          </a:r>
        </a:p>
      </xdr:txBody>
    </xdr:sp>
    <xdr:clientData/>
  </xdr:twoCellAnchor>
  <xdr:twoCellAnchor editAs="absolute">
    <xdr:from>
      <xdr:col>1</xdr:col>
      <xdr:colOff>312420</xdr:colOff>
      <xdr:row>23</xdr:row>
      <xdr:rowOff>121920</xdr:rowOff>
    </xdr:from>
    <xdr:to>
      <xdr:col>1</xdr:col>
      <xdr:colOff>1303020</xdr:colOff>
      <xdr:row>25</xdr:row>
      <xdr:rowOff>129540</xdr:rowOff>
    </xdr:to>
    <xdr:sp macro="" textlink="">
      <xdr:nvSpPr>
        <xdr:cNvPr id="14" name="Rectangle 13">
          <a:hlinkClick xmlns:r="http://schemas.openxmlformats.org/officeDocument/2006/relationships" r:id="rId9"/>
          <a:extLst>
            <a:ext uri="{FF2B5EF4-FFF2-40B4-BE49-F238E27FC236}">
              <a16:creationId xmlns:a16="http://schemas.microsoft.com/office/drawing/2014/main" id="{F282AD1B-73FB-3E29-7FF4-2F3D90582166}"/>
            </a:ext>
          </a:extLst>
        </xdr:cNvPr>
        <xdr:cNvSpPr/>
      </xdr:nvSpPr>
      <xdr:spPr>
        <a:xfrm>
          <a:off x="731520" y="432816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bg2">
                  <a:lumMod val="75000"/>
                </a:schemeClr>
              </a:solidFill>
            </a:rPr>
            <a:t>Sales</a:t>
          </a:r>
        </a:p>
      </xdr:txBody>
    </xdr:sp>
    <xdr:clientData/>
  </xdr:twoCellAnchor>
  <xdr:twoCellAnchor editAs="absolute">
    <xdr:from>
      <xdr:col>1</xdr:col>
      <xdr:colOff>342900</xdr:colOff>
      <xdr:row>25</xdr:row>
      <xdr:rowOff>99060</xdr:rowOff>
    </xdr:from>
    <xdr:to>
      <xdr:col>1</xdr:col>
      <xdr:colOff>1333500</xdr:colOff>
      <xdr:row>27</xdr:row>
      <xdr:rowOff>106680</xdr:rowOff>
    </xdr:to>
    <xdr:sp macro="" textlink="">
      <xdr:nvSpPr>
        <xdr:cNvPr id="15" name="Rectangle 14">
          <a:hlinkClick xmlns:r="http://schemas.openxmlformats.org/officeDocument/2006/relationships" r:id="rId10"/>
          <a:extLst>
            <a:ext uri="{FF2B5EF4-FFF2-40B4-BE49-F238E27FC236}">
              <a16:creationId xmlns:a16="http://schemas.microsoft.com/office/drawing/2014/main" id="{C62B06E2-A5E2-5F5D-995E-459B7B1D818C}"/>
            </a:ext>
          </a:extLst>
        </xdr:cNvPr>
        <xdr:cNvSpPr/>
      </xdr:nvSpPr>
      <xdr:spPr>
        <a:xfrm>
          <a:off x="762000" y="467106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bg2">
                  <a:lumMod val="75000"/>
                </a:schemeClr>
              </a:solidFill>
            </a:rPr>
            <a:t>Inventory</a:t>
          </a:r>
        </a:p>
      </xdr:txBody>
    </xdr:sp>
    <xdr:clientData/>
  </xdr:twoCellAnchor>
  <xdr:twoCellAnchor editAs="absolute">
    <xdr:from>
      <xdr:col>1</xdr:col>
      <xdr:colOff>109920</xdr:colOff>
      <xdr:row>25</xdr:row>
      <xdr:rowOff>144780</xdr:rowOff>
    </xdr:from>
    <xdr:to>
      <xdr:col>1</xdr:col>
      <xdr:colOff>361920</xdr:colOff>
      <xdr:row>27</xdr:row>
      <xdr:rowOff>31020</xdr:rowOff>
    </xdr:to>
    <xdr:pic>
      <xdr:nvPicPr>
        <xdr:cNvPr id="22" name="Graphic 21" descr="Checklist with solid fill">
          <a:extLst>
            <a:ext uri="{FF2B5EF4-FFF2-40B4-BE49-F238E27FC236}">
              <a16:creationId xmlns:a16="http://schemas.microsoft.com/office/drawing/2014/main" id="{AE6DB11B-5550-0CA9-972F-4D906790F22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29020" y="4716780"/>
          <a:ext cx="252000" cy="252000"/>
        </a:xfrm>
        <a:prstGeom prst="rect">
          <a:avLst/>
        </a:prstGeom>
      </xdr:spPr>
    </xdr:pic>
    <xdr:clientData/>
  </xdr:twoCellAnchor>
  <xdr:twoCellAnchor editAs="absolute">
    <xdr:from>
      <xdr:col>1</xdr:col>
      <xdr:colOff>102300</xdr:colOff>
      <xdr:row>21</xdr:row>
      <xdr:rowOff>84100</xdr:rowOff>
    </xdr:from>
    <xdr:to>
      <xdr:col>1</xdr:col>
      <xdr:colOff>354300</xdr:colOff>
      <xdr:row>22</xdr:row>
      <xdr:rowOff>153220</xdr:rowOff>
    </xdr:to>
    <xdr:pic>
      <xdr:nvPicPr>
        <xdr:cNvPr id="24" name="Graphic 23" descr="Clipboard with solid fill">
          <a:extLst>
            <a:ext uri="{FF2B5EF4-FFF2-40B4-BE49-F238E27FC236}">
              <a16:creationId xmlns:a16="http://schemas.microsoft.com/office/drawing/2014/main" id="{5B951828-BD7F-F659-6149-43D57B3FADB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21400" y="3924580"/>
          <a:ext cx="252000" cy="252000"/>
        </a:xfrm>
        <a:prstGeom prst="rect">
          <a:avLst/>
        </a:prstGeom>
      </xdr:spPr>
    </xdr:pic>
    <xdr:clientData/>
  </xdr:twoCellAnchor>
  <xdr:twoCellAnchor editAs="absolute">
    <xdr:from>
      <xdr:col>1</xdr:col>
      <xdr:colOff>94680</xdr:colOff>
      <xdr:row>19</xdr:row>
      <xdr:rowOff>42330</xdr:rowOff>
    </xdr:from>
    <xdr:to>
      <xdr:col>1</xdr:col>
      <xdr:colOff>346680</xdr:colOff>
      <xdr:row>20</xdr:row>
      <xdr:rowOff>111450</xdr:rowOff>
    </xdr:to>
    <xdr:pic>
      <xdr:nvPicPr>
        <xdr:cNvPr id="26" name="Graphic 25" descr="Connections with solid fill">
          <a:extLst>
            <a:ext uri="{FF2B5EF4-FFF2-40B4-BE49-F238E27FC236}">
              <a16:creationId xmlns:a16="http://schemas.microsoft.com/office/drawing/2014/main" id="{6D8AB078-3B98-70DD-F5D3-3D6A37DAD854}"/>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513780" y="3517050"/>
          <a:ext cx="252000" cy="252000"/>
        </a:xfrm>
        <a:prstGeom prst="rect">
          <a:avLst/>
        </a:prstGeom>
      </xdr:spPr>
    </xdr:pic>
    <xdr:clientData/>
  </xdr:twoCellAnchor>
  <xdr:twoCellAnchor editAs="absolute">
    <xdr:from>
      <xdr:col>1</xdr:col>
      <xdr:colOff>94680</xdr:colOff>
      <xdr:row>15</xdr:row>
      <xdr:rowOff>15800</xdr:rowOff>
    </xdr:from>
    <xdr:to>
      <xdr:col>1</xdr:col>
      <xdr:colOff>346680</xdr:colOff>
      <xdr:row>16</xdr:row>
      <xdr:rowOff>84920</xdr:rowOff>
    </xdr:to>
    <xdr:pic>
      <xdr:nvPicPr>
        <xdr:cNvPr id="30" name="Graphic 29" descr="Group of people with solid fill">
          <a:extLst>
            <a:ext uri="{FF2B5EF4-FFF2-40B4-BE49-F238E27FC236}">
              <a16:creationId xmlns:a16="http://schemas.microsoft.com/office/drawing/2014/main" id="{DFCCACBC-ADF5-4A8A-DF7E-726DB98BC866}"/>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513780" y="2759000"/>
          <a:ext cx="252000" cy="252000"/>
        </a:xfrm>
        <a:prstGeom prst="rect">
          <a:avLst/>
        </a:prstGeom>
      </xdr:spPr>
    </xdr:pic>
    <xdr:clientData/>
  </xdr:twoCellAnchor>
  <xdr:twoCellAnchor editAs="absolute">
    <xdr:from>
      <xdr:col>1</xdr:col>
      <xdr:colOff>79440</xdr:colOff>
      <xdr:row>17</xdr:row>
      <xdr:rowOff>26100</xdr:rowOff>
    </xdr:from>
    <xdr:to>
      <xdr:col>1</xdr:col>
      <xdr:colOff>373380</xdr:colOff>
      <xdr:row>18</xdr:row>
      <xdr:rowOff>137160</xdr:rowOff>
    </xdr:to>
    <xdr:pic>
      <xdr:nvPicPr>
        <xdr:cNvPr id="32" name="Graphic 31" descr="Male profile with solid fill">
          <a:extLst>
            <a:ext uri="{FF2B5EF4-FFF2-40B4-BE49-F238E27FC236}">
              <a16:creationId xmlns:a16="http://schemas.microsoft.com/office/drawing/2014/main" id="{142D0FD6-7332-BC26-10F4-E04F1E6428F5}"/>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498540" y="3135060"/>
          <a:ext cx="293940" cy="293940"/>
        </a:xfrm>
        <a:prstGeom prst="rect">
          <a:avLst/>
        </a:prstGeom>
      </xdr:spPr>
    </xdr:pic>
    <xdr:clientData/>
  </xdr:twoCellAnchor>
  <xdr:twoCellAnchor editAs="absolute">
    <xdr:from>
      <xdr:col>1</xdr:col>
      <xdr:colOff>71820</xdr:colOff>
      <xdr:row>10</xdr:row>
      <xdr:rowOff>130380</xdr:rowOff>
    </xdr:from>
    <xdr:to>
      <xdr:col>1</xdr:col>
      <xdr:colOff>323820</xdr:colOff>
      <xdr:row>12</xdr:row>
      <xdr:rowOff>16620</xdr:rowOff>
    </xdr:to>
    <xdr:pic>
      <xdr:nvPicPr>
        <xdr:cNvPr id="34" name="Graphic 33" descr="Presentation with bar chart with solid fill">
          <a:extLst>
            <a:ext uri="{FF2B5EF4-FFF2-40B4-BE49-F238E27FC236}">
              <a16:creationId xmlns:a16="http://schemas.microsoft.com/office/drawing/2014/main" id="{C6A80168-FBB7-0FBE-4332-FDE571D58A38}"/>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490920" y="1959180"/>
          <a:ext cx="252000" cy="252000"/>
        </a:xfrm>
        <a:prstGeom prst="rect">
          <a:avLst/>
        </a:prstGeom>
      </xdr:spPr>
    </xdr:pic>
    <xdr:clientData/>
  </xdr:twoCellAnchor>
  <xdr:twoCellAnchor editAs="absolute">
    <xdr:from>
      <xdr:col>1</xdr:col>
      <xdr:colOff>71820</xdr:colOff>
      <xdr:row>12</xdr:row>
      <xdr:rowOff>179770</xdr:rowOff>
    </xdr:from>
    <xdr:to>
      <xdr:col>1</xdr:col>
      <xdr:colOff>323820</xdr:colOff>
      <xdr:row>14</xdr:row>
      <xdr:rowOff>66010</xdr:rowOff>
    </xdr:to>
    <xdr:pic>
      <xdr:nvPicPr>
        <xdr:cNvPr id="36" name="Graphic 35" descr="User with solid fill">
          <a:extLst>
            <a:ext uri="{FF2B5EF4-FFF2-40B4-BE49-F238E27FC236}">
              <a16:creationId xmlns:a16="http://schemas.microsoft.com/office/drawing/2014/main" id="{B3C7A477-6555-6F4C-E82A-7E9BADF38F3F}"/>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490920" y="2374330"/>
          <a:ext cx="252000" cy="252000"/>
        </a:xfrm>
        <a:prstGeom prst="rect">
          <a:avLst/>
        </a:prstGeom>
      </xdr:spPr>
    </xdr:pic>
    <xdr:clientData/>
  </xdr:twoCellAnchor>
  <xdr:twoCellAnchor editAs="absolute">
    <xdr:from>
      <xdr:col>1</xdr:col>
      <xdr:colOff>109920</xdr:colOff>
      <xdr:row>23</xdr:row>
      <xdr:rowOff>125870</xdr:rowOff>
    </xdr:from>
    <xdr:to>
      <xdr:col>1</xdr:col>
      <xdr:colOff>361920</xdr:colOff>
      <xdr:row>25</xdr:row>
      <xdr:rowOff>12110</xdr:rowOff>
    </xdr:to>
    <xdr:pic>
      <xdr:nvPicPr>
        <xdr:cNvPr id="38" name="Graphic 37" descr="Mathematics with solid fill">
          <a:extLst>
            <a:ext uri="{FF2B5EF4-FFF2-40B4-BE49-F238E27FC236}">
              <a16:creationId xmlns:a16="http://schemas.microsoft.com/office/drawing/2014/main" id="{EAEF855A-FC21-48BB-1D5F-3CFF94463342}"/>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529020" y="4332110"/>
          <a:ext cx="252000" cy="252000"/>
        </a:xfrm>
        <a:prstGeom prst="rect">
          <a:avLst/>
        </a:prstGeom>
      </xdr:spPr>
    </xdr:pic>
    <xdr:clientData/>
  </xdr:twoCellAnchor>
  <xdr:twoCellAnchor editAs="absolute">
    <xdr:from>
      <xdr:col>3</xdr:col>
      <xdr:colOff>0</xdr:colOff>
      <xdr:row>0</xdr:row>
      <xdr:rowOff>175260</xdr:rowOff>
    </xdr:from>
    <xdr:to>
      <xdr:col>21</xdr:col>
      <xdr:colOff>198120</xdr:colOff>
      <xdr:row>4</xdr:row>
      <xdr:rowOff>137160</xdr:rowOff>
    </xdr:to>
    <xdr:sp macro="" textlink="">
      <xdr:nvSpPr>
        <xdr:cNvPr id="43" name="Rectangle 42">
          <a:extLst>
            <a:ext uri="{FF2B5EF4-FFF2-40B4-BE49-F238E27FC236}">
              <a16:creationId xmlns:a16="http://schemas.microsoft.com/office/drawing/2014/main" id="{EB9B9D14-A1AF-C835-F827-0F1BD26D1352}"/>
            </a:ext>
          </a:extLst>
        </xdr:cNvPr>
        <xdr:cNvSpPr/>
      </xdr:nvSpPr>
      <xdr:spPr>
        <a:xfrm>
          <a:off x="2484120" y="175260"/>
          <a:ext cx="11597640" cy="693420"/>
        </a:xfrm>
        <a:prstGeom prst="rect">
          <a:avLst/>
        </a:prstGeom>
        <a:solidFill>
          <a:schemeClr val="bg1"/>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l"/>
          <a:r>
            <a:rPr lang="en-IN" sz="3200" b="1"/>
            <a:t>II</a:t>
          </a:r>
          <a:r>
            <a:rPr lang="en-IN" sz="3200" b="1">
              <a:solidFill>
                <a:schemeClr val="tx1"/>
              </a:solidFill>
            </a:rPr>
            <a:t>Inventory</a:t>
          </a:r>
          <a:r>
            <a:rPr lang="en-IN" sz="3200" b="1" baseline="0">
              <a:solidFill>
                <a:schemeClr val="tx1"/>
              </a:solidFill>
            </a:rPr>
            <a:t> Management  System                                        </a:t>
          </a:r>
          <a:r>
            <a:rPr lang="en-IN" sz="1400" b="1" baseline="0">
              <a:solidFill>
                <a:schemeClr val="tx1"/>
              </a:solidFill>
            </a:rPr>
            <a:t>Last Updated: 09-June-2026</a:t>
          </a:r>
          <a:endParaRPr lang="en-IN" sz="1100" b="1" baseline="0">
            <a:solidFill>
              <a:schemeClr val="tx1"/>
            </a:solidFill>
          </a:endParaRPr>
        </a:p>
        <a:p>
          <a:pPr algn="l"/>
          <a:r>
            <a:rPr lang="en-IN" sz="1050" b="1"/>
            <a:t>pdated</a:t>
          </a:r>
        </a:p>
      </xdr:txBody>
    </xdr:sp>
    <xdr:clientData/>
  </xdr:twoCellAnchor>
  <xdr:twoCellAnchor editAs="absolute">
    <xdr:from>
      <xdr:col>3</xdr:col>
      <xdr:colOff>22860</xdr:colOff>
      <xdr:row>7</xdr:row>
      <xdr:rowOff>68580</xdr:rowOff>
    </xdr:from>
    <xdr:to>
      <xdr:col>5</xdr:col>
      <xdr:colOff>548640</xdr:colOff>
      <xdr:row>11</xdr:row>
      <xdr:rowOff>99060</xdr:rowOff>
    </xdr:to>
    <xdr:sp macro="" textlink="">
      <xdr:nvSpPr>
        <xdr:cNvPr id="44" name="Rectangle 43">
          <a:extLst>
            <a:ext uri="{FF2B5EF4-FFF2-40B4-BE49-F238E27FC236}">
              <a16:creationId xmlns:a16="http://schemas.microsoft.com/office/drawing/2014/main" id="{ACDED681-240A-E9CD-884C-B4D0C5680CDD}"/>
            </a:ext>
          </a:extLst>
        </xdr:cNvPr>
        <xdr:cNvSpPr/>
      </xdr:nvSpPr>
      <xdr:spPr>
        <a:xfrm>
          <a:off x="2506980" y="1348740"/>
          <a:ext cx="1744980" cy="762000"/>
        </a:xfrm>
        <a:prstGeom prst="rect">
          <a:avLst/>
        </a:prstGeom>
        <a:solidFill>
          <a:schemeClr val="bg1"/>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100" baseline="0"/>
            <a:t>   </a:t>
          </a:r>
          <a:r>
            <a:rPr lang="en-IN" sz="1600" baseline="0">
              <a:solidFill>
                <a:sysClr val="windowText" lastClr="000000"/>
              </a:solidFill>
            </a:rPr>
            <a:t>Customers</a:t>
          </a:r>
          <a:endParaRPr lang="en-IN" sz="1100">
            <a:solidFill>
              <a:sysClr val="windowText" lastClr="000000"/>
            </a:solidFill>
          </a:endParaRPr>
        </a:p>
      </xdr:txBody>
    </xdr:sp>
    <xdr:clientData/>
  </xdr:twoCellAnchor>
  <xdr:twoCellAnchor editAs="absolute">
    <xdr:from>
      <xdr:col>3</xdr:col>
      <xdr:colOff>22860</xdr:colOff>
      <xdr:row>7</xdr:row>
      <xdr:rowOff>76200</xdr:rowOff>
    </xdr:from>
    <xdr:to>
      <xdr:col>3</xdr:col>
      <xdr:colOff>213360</xdr:colOff>
      <xdr:row>11</xdr:row>
      <xdr:rowOff>106680</xdr:rowOff>
    </xdr:to>
    <xdr:sp macro="" textlink="">
      <xdr:nvSpPr>
        <xdr:cNvPr id="46" name="Rectangle 45">
          <a:extLst>
            <a:ext uri="{FF2B5EF4-FFF2-40B4-BE49-F238E27FC236}">
              <a16:creationId xmlns:a16="http://schemas.microsoft.com/office/drawing/2014/main" id="{A6650364-AA24-5112-8EDE-4D0B3FAFE5A2}"/>
            </a:ext>
          </a:extLst>
        </xdr:cNvPr>
        <xdr:cNvSpPr/>
      </xdr:nvSpPr>
      <xdr:spPr>
        <a:xfrm>
          <a:off x="2506980" y="1356360"/>
          <a:ext cx="190500" cy="762000"/>
        </a:xfrm>
        <a:prstGeom prst="rect">
          <a:avLst/>
        </a:prstGeom>
        <a:solidFill>
          <a:srgbClr val="00B0F0"/>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99060</xdr:colOff>
      <xdr:row>7</xdr:row>
      <xdr:rowOff>68580</xdr:rowOff>
    </xdr:from>
    <xdr:to>
      <xdr:col>9</xdr:col>
      <xdr:colOff>15240</xdr:colOff>
      <xdr:row>11</xdr:row>
      <xdr:rowOff>99060</xdr:rowOff>
    </xdr:to>
    <xdr:sp macro="" textlink="">
      <xdr:nvSpPr>
        <xdr:cNvPr id="47" name="Rectangle 46">
          <a:extLst>
            <a:ext uri="{FF2B5EF4-FFF2-40B4-BE49-F238E27FC236}">
              <a16:creationId xmlns:a16="http://schemas.microsoft.com/office/drawing/2014/main" id="{88E7A103-950E-ACB8-F4B8-EC27A581ABCF}"/>
            </a:ext>
          </a:extLst>
        </xdr:cNvPr>
        <xdr:cNvSpPr/>
      </xdr:nvSpPr>
      <xdr:spPr>
        <a:xfrm>
          <a:off x="4411980" y="1348740"/>
          <a:ext cx="1744980" cy="762000"/>
        </a:xfrm>
        <a:prstGeom prst="rect">
          <a:avLst/>
        </a:prstGeom>
        <a:solidFill>
          <a:schemeClr val="bg1"/>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aseline="0">
              <a:solidFill>
                <a:sysClr val="windowText" lastClr="000000"/>
              </a:solidFill>
            </a:rPr>
            <a:t>     Products</a:t>
          </a:r>
          <a:endParaRPr lang="en-IN" sz="1600">
            <a:solidFill>
              <a:sysClr val="windowText" lastClr="000000"/>
            </a:solidFill>
          </a:endParaRPr>
        </a:p>
      </xdr:txBody>
    </xdr:sp>
    <xdr:clientData/>
  </xdr:twoCellAnchor>
  <xdr:twoCellAnchor editAs="absolute">
    <xdr:from>
      <xdr:col>6</xdr:col>
      <xdr:colOff>106680</xdr:colOff>
      <xdr:row>7</xdr:row>
      <xdr:rowOff>76200</xdr:rowOff>
    </xdr:from>
    <xdr:to>
      <xdr:col>6</xdr:col>
      <xdr:colOff>297180</xdr:colOff>
      <xdr:row>11</xdr:row>
      <xdr:rowOff>106680</xdr:rowOff>
    </xdr:to>
    <xdr:sp macro="" textlink="">
      <xdr:nvSpPr>
        <xdr:cNvPr id="48" name="Rectangle 47">
          <a:extLst>
            <a:ext uri="{FF2B5EF4-FFF2-40B4-BE49-F238E27FC236}">
              <a16:creationId xmlns:a16="http://schemas.microsoft.com/office/drawing/2014/main" id="{8CD3042D-29DF-8B0D-B7EB-CAEB9D3484B4}"/>
            </a:ext>
          </a:extLst>
        </xdr:cNvPr>
        <xdr:cNvSpPr/>
      </xdr:nvSpPr>
      <xdr:spPr>
        <a:xfrm>
          <a:off x="4419600" y="1356360"/>
          <a:ext cx="190500" cy="762000"/>
        </a:xfrm>
        <a:prstGeom prst="rect">
          <a:avLst/>
        </a:prstGeom>
        <a:solidFill>
          <a:schemeClr val="accent2"/>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251460</xdr:colOff>
      <xdr:row>7</xdr:row>
      <xdr:rowOff>45720</xdr:rowOff>
    </xdr:from>
    <xdr:to>
      <xdr:col>12</xdr:col>
      <xdr:colOff>167640</xdr:colOff>
      <xdr:row>11</xdr:row>
      <xdr:rowOff>76200</xdr:rowOff>
    </xdr:to>
    <xdr:sp macro="" textlink="">
      <xdr:nvSpPr>
        <xdr:cNvPr id="49" name="Rectangle 48">
          <a:extLst>
            <a:ext uri="{FF2B5EF4-FFF2-40B4-BE49-F238E27FC236}">
              <a16:creationId xmlns:a16="http://schemas.microsoft.com/office/drawing/2014/main" id="{B5E435FF-23A6-162E-8501-2C0361ACCFCA}"/>
            </a:ext>
          </a:extLst>
        </xdr:cNvPr>
        <xdr:cNvSpPr/>
      </xdr:nvSpPr>
      <xdr:spPr>
        <a:xfrm>
          <a:off x="6393180" y="1325880"/>
          <a:ext cx="1744980" cy="762000"/>
        </a:xfrm>
        <a:prstGeom prst="rect">
          <a:avLst/>
        </a:prstGeom>
        <a:solidFill>
          <a:schemeClr val="bg1"/>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aseline="0">
              <a:solidFill>
                <a:sysClr val="windowText" lastClr="000000"/>
              </a:solidFill>
            </a:rPr>
            <a:t>     Purchase Amt</a:t>
          </a:r>
          <a:endParaRPr lang="en-IN" sz="1600">
            <a:solidFill>
              <a:sysClr val="windowText" lastClr="000000"/>
            </a:solidFill>
          </a:endParaRPr>
        </a:p>
      </xdr:txBody>
    </xdr:sp>
    <xdr:clientData/>
  </xdr:twoCellAnchor>
  <xdr:twoCellAnchor editAs="absolute">
    <xdr:from>
      <xdr:col>9</xdr:col>
      <xdr:colOff>259080</xdr:colOff>
      <xdr:row>7</xdr:row>
      <xdr:rowOff>53340</xdr:rowOff>
    </xdr:from>
    <xdr:to>
      <xdr:col>9</xdr:col>
      <xdr:colOff>449580</xdr:colOff>
      <xdr:row>11</xdr:row>
      <xdr:rowOff>83820</xdr:rowOff>
    </xdr:to>
    <xdr:sp macro="" textlink="">
      <xdr:nvSpPr>
        <xdr:cNvPr id="50" name="Rectangle 49">
          <a:extLst>
            <a:ext uri="{FF2B5EF4-FFF2-40B4-BE49-F238E27FC236}">
              <a16:creationId xmlns:a16="http://schemas.microsoft.com/office/drawing/2014/main" id="{6B6F8B4E-2C34-4E02-127A-C6A033D6B611}"/>
            </a:ext>
          </a:extLst>
        </xdr:cNvPr>
        <xdr:cNvSpPr/>
      </xdr:nvSpPr>
      <xdr:spPr>
        <a:xfrm>
          <a:off x="6400800" y="1333500"/>
          <a:ext cx="190500" cy="762000"/>
        </a:xfrm>
        <a:prstGeom prst="rect">
          <a:avLst/>
        </a:prstGeom>
        <a:solidFill>
          <a:schemeClr val="accent6"/>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434340</xdr:colOff>
      <xdr:row>7</xdr:row>
      <xdr:rowOff>30480</xdr:rowOff>
    </xdr:from>
    <xdr:to>
      <xdr:col>14</xdr:col>
      <xdr:colOff>960120</xdr:colOff>
      <xdr:row>11</xdr:row>
      <xdr:rowOff>60960</xdr:rowOff>
    </xdr:to>
    <xdr:sp macro="" textlink="">
      <xdr:nvSpPr>
        <xdr:cNvPr id="51" name="Rectangle 50">
          <a:extLst>
            <a:ext uri="{FF2B5EF4-FFF2-40B4-BE49-F238E27FC236}">
              <a16:creationId xmlns:a16="http://schemas.microsoft.com/office/drawing/2014/main" id="{92A658CF-0E42-A03E-257F-A5D55F0A86B3}"/>
            </a:ext>
          </a:extLst>
        </xdr:cNvPr>
        <xdr:cNvSpPr/>
      </xdr:nvSpPr>
      <xdr:spPr>
        <a:xfrm>
          <a:off x="8404860" y="1310640"/>
          <a:ext cx="1744980" cy="762000"/>
        </a:xfrm>
        <a:prstGeom prst="rect">
          <a:avLst/>
        </a:prstGeom>
        <a:solidFill>
          <a:schemeClr val="bg1"/>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aseline="0">
              <a:solidFill>
                <a:sysClr val="windowText" lastClr="000000"/>
              </a:solidFill>
            </a:rPr>
            <a:t>     Sales Amt</a:t>
          </a:r>
          <a:endParaRPr lang="en-IN" sz="1600">
            <a:solidFill>
              <a:sysClr val="windowText" lastClr="000000"/>
            </a:solidFill>
          </a:endParaRPr>
        </a:p>
      </xdr:txBody>
    </xdr:sp>
    <xdr:clientData/>
  </xdr:twoCellAnchor>
  <xdr:twoCellAnchor editAs="absolute">
    <xdr:from>
      <xdr:col>12</xdr:col>
      <xdr:colOff>441960</xdr:colOff>
      <xdr:row>7</xdr:row>
      <xdr:rowOff>38100</xdr:rowOff>
    </xdr:from>
    <xdr:to>
      <xdr:col>13</xdr:col>
      <xdr:colOff>22860</xdr:colOff>
      <xdr:row>11</xdr:row>
      <xdr:rowOff>68580</xdr:rowOff>
    </xdr:to>
    <xdr:sp macro="" textlink="">
      <xdr:nvSpPr>
        <xdr:cNvPr id="52" name="Rectangle 51">
          <a:extLst>
            <a:ext uri="{FF2B5EF4-FFF2-40B4-BE49-F238E27FC236}">
              <a16:creationId xmlns:a16="http://schemas.microsoft.com/office/drawing/2014/main" id="{87091F79-609C-A5FB-E578-540830FDA8E4}"/>
            </a:ext>
          </a:extLst>
        </xdr:cNvPr>
        <xdr:cNvSpPr/>
      </xdr:nvSpPr>
      <xdr:spPr>
        <a:xfrm>
          <a:off x="8412480" y="1318260"/>
          <a:ext cx="190500" cy="762000"/>
        </a:xfrm>
        <a:prstGeom prst="rect">
          <a:avLst/>
        </a:prstGeom>
        <a:solidFill>
          <a:schemeClr val="accent2">
            <a:lumMod val="50000"/>
          </a:schemeClr>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15</xdr:col>
      <xdr:colOff>68580</xdr:colOff>
      <xdr:row>7</xdr:row>
      <xdr:rowOff>7620</xdr:rowOff>
    </xdr:from>
    <xdr:to>
      <xdr:col>17</xdr:col>
      <xdr:colOff>594360</xdr:colOff>
      <xdr:row>11</xdr:row>
      <xdr:rowOff>38100</xdr:rowOff>
    </xdr:to>
    <xdr:sp macro="" textlink="">
      <xdr:nvSpPr>
        <xdr:cNvPr id="53" name="Rectangle 52">
          <a:extLst>
            <a:ext uri="{FF2B5EF4-FFF2-40B4-BE49-F238E27FC236}">
              <a16:creationId xmlns:a16="http://schemas.microsoft.com/office/drawing/2014/main" id="{4421DF61-C11E-D732-8627-5B9FF2ED2802}"/>
            </a:ext>
          </a:extLst>
        </xdr:cNvPr>
        <xdr:cNvSpPr/>
      </xdr:nvSpPr>
      <xdr:spPr>
        <a:xfrm>
          <a:off x="10401300" y="1287780"/>
          <a:ext cx="1744980" cy="762000"/>
        </a:xfrm>
        <a:prstGeom prst="rect">
          <a:avLst/>
        </a:prstGeom>
        <a:solidFill>
          <a:schemeClr val="bg1"/>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aseline="0">
              <a:solidFill>
                <a:sysClr val="windowText" lastClr="000000"/>
              </a:solidFill>
            </a:rPr>
            <a:t>     Stock Amt.</a:t>
          </a:r>
          <a:endParaRPr lang="en-IN" sz="1600">
            <a:solidFill>
              <a:sysClr val="windowText" lastClr="000000"/>
            </a:solidFill>
          </a:endParaRPr>
        </a:p>
      </xdr:txBody>
    </xdr:sp>
    <xdr:clientData/>
  </xdr:twoCellAnchor>
  <xdr:twoCellAnchor editAs="absolute">
    <xdr:from>
      <xdr:col>15</xdr:col>
      <xdr:colOff>76200</xdr:colOff>
      <xdr:row>7</xdr:row>
      <xdr:rowOff>15240</xdr:rowOff>
    </xdr:from>
    <xdr:to>
      <xdr:col>15</xdr:col>
      <xdr:colOff>266700</xdr:colOff>
      <xdr:row>11</xdr:row>
      <xdr:rowOff>45720</xdr:rowOff>
    </xdr:to>
    <xdr:sp macro="" textlink="">
      <xdr:nvSpPr>
        <xdr:cNvPr id="54" name="Rectangle 53">
          <a:extLst>
            <a:ext uri="{FF2B5EF4-FFF2-40B4-BE49-F238E27FC236}">
              <a16:creationId xmlns:a16="http://schemas.microsoft.com/office/drawing/2014/main" id="{2797A3DB-446B-9132-286C-D0E614748C35}"/>
            </a:ext>
          </a:extLst>
        </xdr:cNvPr>
        <xdr:cNvSpPr/>
      </xdr:nvSpPr>
      <xdr:spPr>
        <a:xfrm>
          <a:off x="10408920" y="1295400"/>
          <a:ext cx="190500" cy="762000"/>
        </a:xfrm>
        <a:prstGeom prst="rect">
          <a:avLst/>
        </a:prstGeom>
        <a:solidFill>
          <a:srgbClr val="FFFF00"/>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18</xdr:col>
      <xdr:colOff>167640</xdr:colOff>
      <xdr:row>7</xdr:row>
      <xdr:rowOff>0</xdr:rowOff>
    </xdr:from>
    <xdr:to>
      <xdr:col>21</xdr:col>
      <xdr:colOff>190500</xdr:colOff>
      <xdr:row>11</xdr:row>
      <xdr:rowOff>30480</xdr:rowOff>
    </xdr:to>
    <xdr:sp macro="" textlink="">
      <xdr:nvSpPr>
        <xdr:cNvPr id="55" name="Rectangle 54">
          <a:extLst>
            <a:ext uri="{FF2B5EF4-FFF2-40B4-BE49-F238E27FC236}">
              <a16:creationId xmlns:a16="http://schemas.microsoft.com/office/drawing/2014/main" id="{18219634-6E5E-C675-2DD9-F917B36E5E23}"/>
            </a:ext>
          </a:extLst>
        </xdr:cNvPr>
        <xdr:cNvSpPr/>
      </xdr:nvSpPr>
      <xdr:spPr>
        <a:xfrm>
          <a:off x="12329160" y="1280160"/>
          <a:ext cx="1744980" cy="762000"/>
        </a:xfrm>
        <a:prstGeom prst="rect">
          <a:avLst/>
        </a:prstGeom>
        <a:solidFill>
          <a:schemeClr val="bg1"/>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aseline="0">
              <a:solidFill>
                <a:sysClr val="windowText" lastClr="000000"/>
              </a:solidFill>
            </a:rPr>
            <a:t>     Profit/Loss</a:t>
          </a:r>
        </a:p>
        <a:p>
          <a:pPr algn="l"/>
          <a:r>
            <a:rPr lang="en-IN" sz="1600" baseline="0">
              <a:solidFill>
                <a:sysClr val="windowText" lastClr="000000"/>
              </a:solidFill>
            </a:rPr>
            <a:t>.</a:t>
          </a:r>
          <a:endParaRPr lang="en-IN" sz="1600">
            <a:solidFill>
              <a:sysClr val="windowText" lastClr="000000"/>
            </a:solidFill>
          </a:endParaRPr>
        </a:p>
      </xdr:txBody>
    </xdr:sp>
    <xdr:clientData/>
  </xdr:twoCellAnchor>
  <xdr:twoCellAnchor editAs="absolute">
    <xdr:from>
      <xdr:col>18</xdr:col>
      <xdr:colOff>175260</xdr:colOff>
      <xdr:row>7</xdr:row>
      <xdr:rowOff>7620</xdr:rowOff>
    </xdr:from>
    <xdr:to>
      <xdr:col>18</xdr:col>
      <xdr:colOff>365760</xdr:colOff>
      <xdr:row>11</xdr:row>
      <xdr:rowOff>38100</xdr:rowOff>
    </xdr:to>
    <xdr:sp macro="" textlink="">
      <xdr:nvSpPr>
        <xdr:cNvPr id="56" name="Rectangle 55">
          <a:extLst>
            <a:ext uri="{FF2B5EF4-FFF2-40B4-BE49-F238E27FC236}">
              <a16:creationId xmlns:a16="http://schemas.microsoft.com/office/drawing/2014/main" id="{DE1B2A12-8386-35BB-BA37-EED82D968201}"/>
            </a:ext>
          </a:extLst>
        </xdr:cNvPr>
        <xdr:cNvSpPr/>
      </xdr:nvSpPr>
      <xdr:spPr>
        <a:xfrm>
          <a:off x="12336780" y="1287780"/>
          <a:ext cx="190500" cy="762000"/>
        </a:xfrm>
        <a:prstGeom prst="rect">
          <a:avLst/>
        </a:prstGeom>
        <a:solidFill>
          <a:srgbClr val="FF0000"/>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373380</xdr:colOff>
      <xdr:row>9</xdr:row>
      <xdr:rowOff>38100</xdr:rowOff>
    </xdr:from>
    <xdr:to>
      <xdr:col>5</xdr:col>
      <xdr:colOff>548640</xdr:colOff>
      <xdr:row>11</xdr:row>
      <xdr:rowOff>68580</xdr:rowOff>
    </xdr:to>
    <xdr:sp macro="" textlink="Pivots!C3">
      <xdr:nvSpPr>
        <xdr:cNvPr id="2" name="Rectangle 1">
          <a:extLst>
            <a:ext uri="{FF2B5EF4-FFF2-40B4-BE49-F238E27FC236}">
              <a16:creationId xmlns:a16="http://schemas.microsoft.com/office/drawing/2014/main" id="{9DA6C20D-6E81-C904-3144-DC28EEE34EA6}"/>
            </a:ext>
          </a:extLst>
        </xdr:cNvPr>
        <xdr:cNvSpPr/>
      </xdr:nvSpPr>
      <xdr:spPr>
        <a:xfrm>
          <a:off x="2857500" y="1684020"/>
          <a:ext cx="1394460" cy="39624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99FF029-61C7-45F1-BEA6-72D9BD44C6E4}" type="TxLink">
            <a:rPr lang="en-US" sz="1600" b="1" i="0" u="none" strike="noStrike">
              <a:solidFill>
                <a:srgbClr val="000000"/>
              </a:solidFill>
              <a:latin typeface="Calibri"/>
              <a:ea typeface="Calibri"/>
              <a:cs typeface="Calibri"/>
            </a:rPr>
            <a:pPr algn="l"/>
            <a:t>7</a:t>
          </a:fld>
          <a:endParaRPr lang="en-IN" sz="1600" b="1"/>
        </a:p>
      </xdr:txBody>
    </xdr:sp>
    <xdr:clientData/>
  </xdr:twoCellAnchor>
  <xdr:twoCellAnchor editAs="absolute">
    <xdr:from>
      <xdr:col>6</xdr:col>
      <xdr:colOff>449580</xdr:colOff>
      <xdr:row>9</xdr:row>
      <xdr:rowOff>38100</xdr:rowOff>
    </xdr:from>
    <xdr:to>
      <xdr:col>9</xdr:col>
      <xdr:colOff>15240</xdr:colOff>
      <xdr:row>11</xdr:row>
      <xdr:rowOff>68580</xdr:rowOff>
    </xdr:to>
    <xdr:sp macro="" textlink="Pivots!C7">
      <xdr:nvSpPr>
        <xdr:cNvPr id="6" name="Rectangle 5">
          <a:extLst>
            <a:ext uri="{FF2B5EF4-FFF2-40B4-BE49-F238E27FC236}">
              <a16:creationId xmlns:a16="http://schemas.microsoft.com/office/drawing/2014/main" id="{87801891-05D6-D361-BE33-91F20EDB1D1A}"/>
            </a:ext>
          </a:extLst>
        </xdr:cNvPr>
        <xdr:cNvSpPr/>
      </xdr:nvSpPr>
      <xdr:spPr>
        <a:xfrm>
          <a:off x="4762500" y="1684020"/>
          <a:ext cx="1394460" cy="39624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D1BB582-D20B-4FFB-B562-884E025F171F}" type="TxLink">
            <a:rPr lang="en-US" sz="1600" b="1" i="0" u="none" strike="noStrike">
              <a:solidFill>
                <a:srgbClr val="000000"/>
              </a:solidFill>
              <a:latin typeface="Calibri"/>
              <a:ea typeface="Calibri"/>
              <a:cs typeface="Calibri"/>
            </a:rPr>
            <a:pPr algn="l"/>
            <a:t>10</a:t>
          </a:fld>
          <a:endParaRPr lang="en-IN" sz="1600" b="1"/>
        </a:p>
      </xdr:txBody>
    </xdr:sp>
    <xdr:clientData/>
  </xdr:twoCellAnchor>
  <xdr:twoCellAnchor editAs="absolute">
    <xdr:from>
      <xdr:col>9</xdr:col>
      <xdr:colOff>594360</xdr:colOff>
      <xdr:row>9</xdr:row>
      <xdr:rowOff>15240</xdr:rowOff>
    </xdr:from>
    <xdr:to>
      <xdr:col>12</xdr:col>
      <xdr:colOff>160020</xdr:colOff>
      <xdr:row>11</xdr:row>
      <xdr:rowOff>45720</xdr:rowOff>
    </xdr:to>
    <xdr:sp macro="" textlink="Pivots!C11">
      <xdr:nvSpPr>
        <xdr:cNvPr id="20" name="Rectangle 19">
          <a:extLst>
            <a:ext uri="{FF2B5EF4-FFF2-40B4-BE49-F238E27FC236}">
              <a16:creationId xmlns:a16="http://schemas.microsoft.com/office/drawing/2014/main" id="{B8BDA255-D88D-CE49-B76B-8926799DD9BC}"/>
            </a:ext>
          </a:extLst>
        </xdr:cNvPr>
        <xdr:cNvSpPr/>
      </xdr:nvSpPr>
      <xdr:spPr>
        <a:xfrm>
          <a:off x="6736080" y="1661160"/>
          <a:ext cx="1394460" cy="39624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494E3FC-7FC0-4B95-BF8F-3DD652EAF0FC}" type="TxLink">
            <a:rPr lang="en-US" sz="1600" b="1" i="0" u="none" strike="noStrike">
              <a:solidFill>
                <a:srgbClr val="000000"/>
              </a:solidFill>
              <a:latin typeface="Calibri"/>
              <a:ea typeface="Calibri"/>
              <a:cs typeface="Calibri"/>
            </a:rPr>
            <a:pPr algn="l"/>
            <a:t>₹ 10,24,028</a:t>
          </a:fld>
          <a:endParaRPr lang="en-IN" sz="1600" b="1"/>
        </a:p>
      </xdr:txBody>
    </xdr:sp>
    <xdr:clientData/>
  </xdr:twoCellAnchor>
  <xdr:twoCellAnchor editAs="absolute">
    <xdr:from>
      <xdr:col>13</xdr:col>
      <xdr:colOff>167640</xdr:colOff>
      <xdr:row>9</xdr:row>
      <xdr:rowOff>0</xdr:rowOff>
    </xdr:from>
    <xdr:to>
      <xdr:col>14</xdr:col>
      <xdr:colOff>952500</xdr:colOff>
      <xdr:row>11</xdr:row>
      <xdr:rowOff>30480</xdr:rowOff>
    </xdr:to>
    <xdr:sp macro="" textlink="Pivots!C15">
      <xdr:nvSpPr>
        <xdr:cNvPr id="21" name="Rectangle 20">
          <a:extLst>
            <a:ext uri="{FF2B5EF4-FFF2-40B4-BE49-F238E27FC236}">
              <a16:creationId xmlns:a16="http://schemas.microsoft.com/office/drawing/2014/main" id="{33B3A195-3C79-A78B-6D70-366064A7FA8D}"/>
            </a:ext>
          </a:extLst>
        </xdr:cNvPr>
        <xdr:cNvSpPr/>
      </xdr:nvSpPr>
      <xdr:spPr>
        <a:xfrm>
          <a:off x="8747760" y="1645920"/>
          <a:ext cx="1394460" cy="39624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771433C-D9A0-4C1F-B375-6906AB7CBBA5}" type="TxLink">
            <a:rPr lang="en-US" sz="1600" b="1" i="0" u="none" strike="noStrike">
              <a:solidFill>
                <a:srgbClr val="000000"/>
              </a:solidFill>
              <a:latin typeface="Calibri"/>
              <a:ea typeface="Calibri"/>
              <a:cs typeface="Calibri"/>
            </a:rPr>
            <a:pPr algn="l"/>
            <a:t>₹ 2,35,440</a:t>
          </a:fld>
          <a:endParaRPr lang="en-IN" sz="1600" b="1"/>
        </a:p>
      </xdr:txBody>
    </xdr:sp>
    <xdr:clientData/>
  </xdr:twoCellAnchor>
  <xdr:twoCellAnchor editAs="absolute">
    <xdr:from>
      <xdr:col>15</xdr:col>
      <xdr:colOff>411480</xdr:colOff>
      <xdr:row>8</xdr:row>
      <xdr:rowOff>160020</xdr:rowOff>
    </xdr:from>
    <xdr:to>
      <xdr:col>17</xdr:col>
      <xdr:colOff>586740</xdr:colOff>
      <xdr:row>11</xdr:row>
      <xdr:rowOff>7620</xdr:rowOff>
    </xdr:to>
    <xdr:sp macro="" textlink="Pivots!C19">
      <xdr:nvSpPr>
        <xdr:cNvPr id="23" name="Rectangle 22">
          <a:extLst>
            <a:ext uri="{FF2B5EF4-FFF2-40B4-BE49-F238E27FC236}">
              <a16:creationId xmlns:a16="http://schemas.microsoft.com/office/drawing/2014/main" id="{9F20EAC0-992B-C233-F9B2-EC42CC0D42BA}"/>
            </a:ext>
          </a:extLst>
        </xdr:cNvPr>
        <xdr:cNvSpPr/>
      </xdr:nvSpPr>
      <xdr:spPr>
        <a:xfrm>
          <a:off x="10744200" y="1623060"/>
          <a:ext cx="1394460" cy="39624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2964992-6C8D-4341-872C-1E19C2665370}" type="TxLink">
            <a:rPr lang="en-US" sz="1600" b="1" i="0" u="none" strike="noStrike">
              <a:solidFill>
                <a:srgbClr val="000000"/>
              </a:solidFill>
              <a:latin typeface="Calibri"/>
              <a:ea typeface="Calibri"/>
              <a:cs typeface="Calibri"/>
            </a:rPr>
            <a:pPr algn="l"/>
            <a:t>₹ 8,21,948</a:t>
          </a:fld>
          <a:endParaRPr lang="en-IN" sz="1600" b="1"/>
        </a:p>
      </xdr:txBody>
    </xdr:sp>
    <xdr:clientData/>
  </xdr:twoCellAnchor>
  <xdr:twoCellAnchor editAs="absolute">
    <xdr:from>
      <xdr:col>18</xdr:col>
      <xdr:colOff>510540</xdr:colOff>
      <xdr:row>8</xdr:row>
      <xdr:rowOff>152400</xdr:rowOff>
    </xdr:from>
    <xdr:to>
      <xdr:col>21</xdr:col>
      <xdr:colOff>182880</xdr:colOff>
      <xdr:row>11</xdr:row>
      <xdr:rowOff>0</xdr:rowOff>
    </xdr:to>
    <xdr:sp macro="" textlink="Pivots!C23">
      <xdr:nvSpPr>
        <xdr:cNvPr id="25" name="Rectangle 24">
          <a:extLst>
            <a:ext uri="{FF2B5EF4-FFF2-40B4-BE49-F238E27FC236}">
              <a16:creationId xmlns:a16="http://schemas.microsoft.com/office/drawing/2014/main" id="{41D8628F-8E4F-12CC-5F66-DB8FE105E598}"/>
            </a:ext>
          </a:extLst>
        </xdr:cNvPr>
        <xdr:cNvSpPr/>
      </xdr:nvSpPr>
      <xdr:spPr>
        <a:xfrm>
          <a:off x="12672060" y="1615440"/>
          <a:ext cx="1394460" cy="39624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A8C5B1D-1D5B-4FE6-9012-AAFED57E4CBA}" type="TxLink">
            <a:rPr lang="en-US" sz="1600" b="1" i="0" u="none" strike="noStrike">
              <a:solidFill>
                <a:srgbClr val="000000"/>
              </a:solidFill>
              <a:latin typeface="Calibri"/>
              <a:ea typeface="Calibri"/>
              <a:cs typeface="Calibri"/>
            </a:rPr>
            <a:pPr algn="l"/>
            <a:t>₹ 33,360</a:t>
          </a:fld>
          <a:endParaRPr lang="en-IN" sz="1600" b="1"/>
        </a:p>
      </xdr:txBody>
    </xdr:sp>
    <xdr:clientData/>
  </xdr:twoCellAnchor>
  <xdr:twoCellAnchor>
    <xdr:from>
      <xdr:col>3</xdr:col>
      <xdr:colOff>30480</xdr:colOff>
      <xdr:row>13</xdr:row>
      <xdr:rowOff>60960</xdr:rowOff>
    </xdr:from>
    <xdr:to>
      <xdr:col>8</xdr:col>
      <xdr:colOff>38100</xdr:colOff>
      <xdr:row>21</xdr:row>
      <xdr:rowOff>83820</xdr:rowOff>
    </xdr:to>
    <xdr:graphicFrame macro="">
      <xdr:nvGraphicFramePr>
        <xdr:cNvPr id="29" name="Chart 28">
          <a:extLst>
            <a:ext uri="{FF2B5EF4-FFF2-40B4-BE49-F238E27FC236}">
              <a16:creationId xmlns:a16="http://schemas.microsoft.com/office/drawing/2014/main" id="{BBC2A224-8098-4421-AF48-8CFD390F92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8</xdr:col>
      <xdr:colOff>190500</xdr:colOff>
      <xdr:row>13</xdr:row>
      <xdr:rowOff>65833</xdr:rowOff>
    </xdr:from>
    <xdr:to>
      <xdr:col>13</xdr:col>
      <xdr:colOff>47517</xdr:colOff>
      <xdr:row>21</xdr:row>
      <xdr:rowOff>64417</xdr:rowOff>
    </xdr:to>
    <xdr:graphicFrame macro="">
      <xdr:nvGraphicFramePr>
        <xdr:cNvPr id="31" name="Chart 30">
          <a:extLst>
            <a:ext uri="{FF2B5EF4-FFF2-40B4-BE49-F238E27FC236}">
              <a16:creationId xmlns:a16="http://schemas.microsoft.com/office/drawing/2014/main" id="{1D0BEAD0-1702-434B-B732-ABA8DAE03B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3</xdr:col>
      <xdr:colOff>7620</xdr:colOff>
      <xdr:row>22</xdr:row>
      <xdr:rowOff>53340</xdr:rowOff>
    </xdr:from>
    <xdr:to>
      <xdr:col>13</xdr:col>
      <xdr:colOff>30480</xdr:colOff>
      <xdr:row>32</xdr:row>
      <xdr:rowOff>15240</xdr:rowOff>
    </xdr:to>
    <xdr:graphicFrame macro="">
      <xdr:nvGraphicFramePr>
        <xdr:cNvPr id="39" name="Chart 38">
          <a:extLst>
            <a:ext uri="{FF2B5EF4-FFF2-40B4-BE49-F238E27FC236}">
              <a16:creationId xmlns:a16="http://schemas.microsoft.com/office/drawing/2014/main" id="{FE660F3B-63B4-407F-9F63-3239FE14A4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editAs="absolute">
    <xdr:from>
      <xdr:col>15</xdr:col>
      <xdr:colOff>99060</xdr:colOff>
      <xdr:row>20</xdr:row>
      <xdr:rowOff>152401</xdr:rowOff>
    </xdr:from>
    <xdr:to>
      <xdr:col>21</xdr:col>
      <xdr:colOff>594360</xdr:colOff>
      <xdr:row>27</xdr:row>
      <xdr:rowOff>45720</xdr:rowOff>
    </xdr:to>
    <mc:AlternateContent xmlns:mc="http://schemas.openxmlformats.org/markup-compatibility/2006" xmlns:sle15="http://schemas.microsoft.com/office/drawing/2012/slicer">
      <mc:Choice Requires="sle15">
        <xdr:graphicFrame macro="">
          <xdr:nvGraphicFramePr>
            <xdr:cNvPr id="17" name="Name">
              <a:extLst>
                <a:ext uri="{FF2B5EF4-FFF2-40B4-BE49-F238E27FC236}">
                  <a16:creationId xmlns:a16="http://schemas.microsoft.com/office/drawing/2014/main" id="{78B51891-827E-44CF-ABE7-14FF0A331B5F}"/>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10431780" y="3924301"/>
              <a:ext cx="4046220" cy="117347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15</xdr:col>
      <xdr:colOff>91440</xdr:colOff>
      <xdr:row>15</xdr:row>
      <xdr:rowOff>7621</xdr:rowOff>
    </xdr:from>
    <xdr:to>
      <xdr:col>21</xdr:col>
      <xdr:colOff>594360</xdr:colOff>
      <xdr:row>20</xdr:row>
      <xdr:rowOff>152400</xdr:rowOff>
    </xdr:to>
    <mc:AlternateContent xmlns:mc="http://schemas.openxmlformats.org/markup-compatibility/2006" xmlns:sle15="http://schemas.microsoft.com/office/drawing/2012/slicer">
      <mc:Choice Requires="sle15">
        <xdr:graphicFrame macro="">
          <xdr:nvGraphicFramePr>
            <xdr:cNvPr id="18" name="Product Name">
              <a:extLst>
                <a:ext uri="{FF2B5EF4-FFF2-40B4-BE49-F238E27FC236}">
                  <a16:creationId xmlns:a16="http://schemas.microsoft.com/office/drawing/2014/main" id="{FBC90A85-AC18-4216-8EE8-6C40D2561E1C}"/>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10424160" y="2865121"/>
              <a:ext cx="4053840" cy="105917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15</xdr:col>
      <xdr:colOff>114300</xdr:colOff>
      <xdr:row>27</xdr:row>
      <xdr:rowOff>38101</xdr:rowOff>
    </xdr:from>
    <xdr:to>
      <xdr:col>22</xdr:col>
      <xdr:colOff>7620</xdr:colOff>
      <xdr:row>32</xdr:row>
      <xdr:rowOff>1</xdr:rowOff>
    </xdr:to>
    <mc:AlternateContent xmlns:mc="http://schemas.openxmlformats.org/markup-compatibility/2006" xmlns:sle15="http://schemas.microsoft.com/office/drawing/2012/slicer">
      <mc:Choice Requires="sle15">
        <xdr:graphicFrame macro="">
          <xdr:nvGraphicFramePr>
            <xdr:cNvPr id="19" name="Vendor Name">
              <a:extLst>
                <a:ext uri="{FF2B5EF4-FFF2-40B4-BE49-F238E27FC236}">
                  <a16:creationId xmlns:a16="http://schemas.microsoft.com/office/drawing/2014/main" id="{7C8C5B64-B920-4BAC-B03C-50958E623B42}"/>
                </a:ext>
              </a:extLst>
            </xdr:cNvPr>
            <xdr:cNvGraphicFramePr/>
          </xdr:nvGraphicFramePr>
          <xdr:xfrm>
            <a:off x="0" y="0"/>
            <a:ext cx="0" cy="0"/>
          </xdr:xfrm>
          <a:graphic>
            <a:graphicData uri="http://schemas.microsoft.com/office/drawing/2010/slicer">
              <sle:slicer xmlns:sle="http://schemas.microsoft.com/office/drawing/2010/slicer" name="Vendor Name"/>
            </a:graphicData>
          </a:graphic>
        </xdr:graphicFrame>
      </mc:Choice>
      <mc:Fallback xmlns="">
        <xdr:sp macro="" textlink="">
          <xdr:nvSpPr>
            <xdr:cNvPr id="0" name=""/>
            <xdr:cNvSpPr>
              <a:spLocks noTextEdit="1"/>
            </xdr:cNvSpPr>
          </xdr:nvSpPr>
          <xdr:spPr>
            <a:xfrm>
              <a:off x="11125200" y="5090161"/>
              <a:ext cx="3375660" cy="8763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457200</xdr:colOff>
      <xdr:row>3</xdr:row>
      <xdr:rowOff>114300</xdr:rowOff>
    </xdr:from>
    <xdr:to>
      <xdr:col>1</xdr:col>
      <xdr:colOff>1082040</xdr:colOff>
      <xdr:row>7</xdr:row>
      <xdr:rowOff>7620</xdr:rowOff>
    </xdr:to>
    <xdr:pic>
      <xdr:nvPicPr>
        <xdr:cNvPr id="2" name="Graphic 1" descr="Target Audience with solid fill">
          <a:extLst>
            <a:ext uri="{FF2B5EF4-FFF2-40B4-BE49-F238E27FC236}">
              <a16:creationId xmlns:a16="http://schemas.microsoft.com/office/drawing/2014/main" id="{9E3BE9DD-A8E7-4702-8348-7F6CEAB0CF6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76300" y="662940"/>
          <a:ext cx="624840" cy="624840"/>
        </a:xfrm>
        <a:prstGeom prst="rect">
          <a:avLst/>
        </a:prstGeom>
      </xdr:spPr>
    </xdr:pic>
    <xdr:clientData/>
  </xdr:twoCellAnchor>
  <xdr:twoCellAnchor editAs="absolute">
    <xdr:from>
      <xdr:col>1</xdr:col>
      <xdr:colOff>22860</xdr:colOff>
      <xdr:row>6</xdr:row>
      <xdr:rowOff>129540</xdr:rowOff>
    </xdr:from>
    <xdr:to>
      <xdr:col>1</xdr:col>
      <xdr:colOff>1562100</xdr:colOff>
      <xdr:row>8</xdr:row>
      <xdr:rowOff>243840</xdr:rowOff>
    </xdr:to>
    <xdr:sp macro="" textlink="">
      <xdr:nvSpPr>
        <xdr:cNvPr id="3" name="Rectangle 2">
          <a:extLst>
            <a:ext uri="{FF2B5EF4-FFF2-40B4-BE49-F238E27FC236}">
              <a16:creationId xmlns:a16="http://schemas.microsoft.com/office/drawing/2014/main" id="{23854A48-D525-4ED8-B558-00A0727EEF21}"/>
            </a:ext>
          </a:extLst>
        </xdr:cNvPr>
        <xdr:cNvSpPr/>
      </xdr:nvSpPr>
      <xdr:spPr>
        <a:xfrm>
          <a:off x="441960" y="1226820"/>
          <a:ext cx="1539240" cy="5943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Inventory Management System</a:t>
          </a:r>
        </a:p>
      </xdr:txBody>
    </xdr:sp>
    <xdr:clientData/>
  </xdr:twoCellAnchor>
  <xdr:twoCellAnchor editAs="absolute">
    <xdr:from>
      <xdr:col>1</xdr:col>
      <xdr:colOff>312420</xdr:colOff>
      <xdr:row>9</xdr:row>
      <xdr:rowOff>45720</xdr:rowOff>
    </xdr:from>
    <xdr:to>
      <xdr:col>1</xdr:col>
      <xdr:colOff>1303020</xdr:colOff>
      <xdr:row>10</xdr:row>
      <xdr:rowOff>121920</xdr:rowOff>
    </xdr:to>
    <xdr:sp macro="" textlink="">
      <xdr:nvSpPr>
        <xdr:cNvPr id="4" name="Rectangle 3">
          <a:hlinkClick xmlns:r="http://schemas.openxmlformats.org/officeDocument/2006/relationships" r:id="rId3"/>
          <a:extLst>
            <a:ext uri="{FF2B5EF4-FFF2-40B4-BE49-F238E27FC236}">
              <a16:creationId xmlns:a16="http://schemas.microsoft.com/office/drawing/2014/main" id="{D9960094-4410-4E78-8F25-97A5E7EE6159}"/>
            </a:ext>
          </a:extLst>
        </xdr:cNvPr>
        <xdr:cNvSpPr/>
      </xdr:nvSpPr>
      <xdr:spPr>
        <a:xfrm>
          <a:off x="731520" y="192024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bg2">
                  <a:lumMod val="75000"/>
                </a:schemeClr>
              </a:solidFill>
            </a:rPr>
            <a:t>Dashboard</a:t>
          </a:r>
        </a:p>
      </xdr:txBody>
    </xdr:sp>
    <xdr:clientData/>
  </xdr:twoCellAnchor>
  <xdr:twoCellAnchor editAs="absolute">
    <xdr:from>
      <xdr:col>1</xdr:col>
      <xdr:colOff>312420</xdr:colOff>
      <xdr:row>10</xdr:row>
      <xdr:rowOff>167640</xdr:rowOff>
    </xdr:from>
    <xdr:to>
      <xdr:col>1</xdr:col>
      <xdr:colOff>1303020</xdr:colOff>
      <xdr:row>11</xdr:row>
      <xdr:rowOff>243840</xdr:rowOff>
    </xdr:to>
    <xdr:sp macro="" textlink="">
      <xdr:nvSpPr>
        <xdr:cNvPr id="5" name="Rectangle 4">
          <a:hlinkClick xmlns:r="http://schemas.openxmlformats.org/officeDocument/2006/relationships" r:id="rId4"/>
          <a:extLst>
            <a:ext uri="{FF2B5EF4-FFF2-40B4-BE49-F238E27FC236}">
              <a16:creationId xmlns:a16="http://schemas.microsoft.com/office/drawing/2014/main" id="{106E8F22-4062-4E9B-AD7F-D88C5DDC14F9}"/>
            </a:ext>
          </a:extLst>
        </xdr:cNvPr>
        <xdr:cNvSpPr/>
      </xdr:nvSpPr>
      <xdr:spPr>
        <a:xfrm>
          <a:off x="731520" y="233934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Customers</a:t>
          </a:r>
        </a:p>
      </xdr:txBody>
    </xdr:sp>
    <xdr:clientData/>
  </xdr:twoCellAnchor>
  <xdr:twoCellAnchor editAs="absolute">
    <xdr:from>
      <xdr:col>1</xdr:col>
      <xdr:colOff>312420</xdr:colOff>
      <xdr:row>11</xdr:row>
      <xdr:rowOff>266700</xdr:rowOff>
    </xdr:from>
    <xdr:to>
      <xdr:col>1</xdr:col>
      <xdr:colOff>1303020</xdr:colOff>
      <xdr:row>13</xdr:row>
      <xdr:rowOff>45720</xdr:rowOff>
    </xdr:to>
    <xdr:sp macro="" textlink="">
      <xdr:nvSpPr>
        <xdr:cNvPr id="6" name="Rectangle 5">
          <a:hlinkClick xmlns:r="http://schemas.openxmlformats.org/officeDocument/2006/relationships" r:id="rId5"/>
          <a:extLst>
            <a:ext uri="{FF2B5EF4-FFF2-40B4-BE49-F238E27FC236}">
              <a16:creationId xmlns:a16="http://schemas.microsoft.com/office/drawing/2014/main" id="{08076F3B-7D8F-4E2B-AF74-274C8A13B695}"/>
            </a:ext>
          </a:extLst>
        </xdr:cNvPr>
        <xdr:cNvSpPr/>
      </xdr:nvSpPr>
      <xdr:spPr>
        <a:xfrm>
          <a:off x="731520" y="273558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bg2">
                  <a:lumMod val="75000"/>
                </a:schemeClr>
              </a:solidFill>
            </a:rPr>
            <a:t>Products</a:t>
          </a:r>
        </a:p>
      </xdr:txBody>
    </xdr:sp>
    <xdr:clientData/>
  </xdr:twoCellAnchor>
  <xdr:twoCellAnchor editAs="absolute">
    <xdr:from>
      <xdr:col>1</xdr:col>
      <xdr:colOff>312420</xdr:colOff>
      <xdr:row>13</xdr:row>
      <xdr:rowOff>76200</xdr:rowOff>
    </xdr:from>
    <xdr:to>
      <xdr:col>1</xdr:col>
      <xdr:colOff>1303020</xdr:colOff>
      <xdr:row>14</xdr:row>
      <xdr:rowOff>152400</xdr:rowOff>
    </xdr:to>
    <xdr:sp macro="" textlink="">
      <xdr:nvSpPr>
        <xdr:cNvPr id="7" name="Rectangle 6">
          <a:hlinkClick xmlns:r="http://schemas.openxmlformats.org/officeDocument/2006/relationships" r:id="rId6"/>
          <a:extLst>
            <a:ext uri="{FF2B5EF4-FFF2-40B4-BE49-F238E27FC236}">
              <a16:creationId xmlns:a16="http://schemas.microsoft.com/office/drawing/2014/main" id="{824256D9-0F29-40BD-89EA-731C130F5AD9}"/>
            </a:ext>
          </a:extLst>
        </xdr:cNvPr>
        <xdr:cNvSpPr/>
      </xdr:nvSpPr>
      <xdr:spPr>
        <a:xfrm>
          <a:off x="731520" y="313944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bg2">
                  <a:lumMod val="75000"/>
                </a:schemeClr>
              </a:solidFill>
            </a:rPr>
            <a:t>Vendors</a:t>
          </a:r>
        </a:p>
      </xdr:txBody>
    </xdr:sp>
    <xdr:clientData/>
  </xdr:twoCellAnchor>
  <xdr:twoCellAnchor editAs="absolute">
    <xdr:from>
      <xdr:col>1</xdr:col>
      <xdr:colOff>312420</xdr:colOff>
      <xdr:row>14</xdr:row>
      <xdr:rowOff>152400</xdr:rowOff>
    </xdr:from>
    <xdr:to>
      <xdr:col>1</xdr:col>
      <xdr:colOff>1303020</xdr:colOff>
      <xdr:row>16</xdr:row>
      <xdr:rowOff>45720</xdr:rowOff>
    </xdr:to>
    <xdr:sp macro="" textlink="">
      <xdr:nvSpPr>
        <xdr:cNvPr id="8" name="Rectangle 7">
          <a:hlinkClick xmlns:r="http://schemas.openxmlformats.org/officeDocument/2006/relationships" r:id="rId7"/>
          <a:extLst>
            <a:ext uri="{FF2B5EF4-FFF2-40B4-BE49-F238E27FC236}">
              <a16:creationId xmlns:a16="http://schemas.microsoft.com/office/drawing/2014/main" id="{0811C429-61CC-405A-95E5-1B2C08484674}"/>
            </a:ext>
          </a:extLst>
        </xdr:cNvPr>
        <xdr:cNvSpPr/>
      </xdr:nvSpPr>
      <xdr:spPr>
        <a:xfrm>
          <a:off x="731520" y="351282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bg2">
                  <a:lumMod val="75000"/>
                </a:schemeClr>
              </a:solidFill>
            </a:rPr>
            <a:t>New</a:t>
          </a:r>
          <a:r>
            <a:rPr lang="en-IN" sz="1400" b="0" baseline="0">
              <a:solidFill>
                <a:schemeClr val="bg2">
                  <a:lumMod val="75000"/>
                </a:schemeClr>
              </a:solidFill>
            </a:rPr>
            <a:t> Entry</a:t>
          </a:r>
          <a:endParaRPr lang="en-IN" sz="1400" b="0">
            <a:solidFill>
              <a:schemeClr val="bg2">
                <a:lumMod val="75000"/>
              </a:schemeClr>
            </a:solidFill>
          </a:endParaRPr>
        </a:p>
      </xdr:txBody>
    </xdr:sp>
    <xdr:clientData/>
  </xdr:twoCellAnchor>
  <xdr:twoCellAnchor editAs="absolute">
    <xdr:from>
      <xdr:col>1</xdr:col>
      <xdr:colOff>312420</xdr:colOff>
      <xdr:row>16</xdr:row>
      <xdr:rowOff>106680</xdr:rowOff>
    </xdr:from>
    <xdr:to>
      <xdr:col>1</xdr:col>
      <xdr:colOff>1303020</xdr:colOff>
      <xdr:row>18</xdr:row>
      <xdr:rowOff>114300</xdr:rowOff>
    </xdr:to>
    <xdr:sp macro="" textlink="">
      <xdr:nvSpPr>
        <xdr:cNvPr id="9" name="Rectangle 8">
          <a:hlinkClick xmlns:r="http://schemas.openxmlformats.org/officeDocument/2006/relationships" r:id="rId8"/>
          <a:extLst>
            <a:ext uri="{FF2B5EF4-FFF2-40B4-BE49-F238E27FC236}">
              <a16:creationId xmlns:a16="http://schemas.microsoft.com/office/drawing/2014/main" id="{2A8EE04F-5921-416E-9DBB-423E2E3BD44B}"/>
            </a:ext>
          </a:extLst>
        </xdr:cNvPr>
        <xdr:cNvSpPr/>
      </xdr:nvSpPr>
      <xdr:spPr>
        <a:xfrm>
          <a:off x="731520" y="394716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bg2">
                  <a:lumMod val="75000"/>
                </a:schemeClr>
              </a:solidFill>
            </a:rPr>
            <a:t>Purchase</a:t>
          </a:r>
        </a:p>
      </xdr:txBody>
    </xdr:sp>
    <xdr:clientData/>
  </xdr:twoCellAnchor>
  <xdr:twoCellAnchor editAs="absolute">
    <xdr:from>
      <xdr:col>1</xdr:col>
      <xdr:colOff>312420</xdr:colOff>
      <xdr:row>18</xdr:row>
      <xdr:rowOff>121920</xdr:rowOff>
    </xdr:from>
    <xdr:to>
      <xdr:col>1</xdr:col>
      <xdr:colOff>1303020</xdr:colOff>
      <xdr:row>20</xdr:row>
      <xdr:rowOff>129540</xdr:rowOff>
    </xdr:to>
    <xdr:sp macro="" textlink="">
      <xdr:nvSpPr>
        <xdr:cNvPr id="10" name="Rectangle 9">
          <a:hlinkClick xmlns:r="http://schemas.openxmlformats.org/officeDocument/2006/relationships" r:id="rId9"/>
          <a:extLst>
            <a:ext uri="{FF2B5EF4-FFF2-40B4-BE49-F238E27FC236}">
              <a16:creationId xmlns:a16="http://schemas.microsoft.com/office/drawing/2014/main" id="{D7E17658-B7EE-416C-9F35-459B870E449D}"/>
            </a:ext>
          </a:extLst>
        </xdr:cNvPr>
        <xdr:cNvSpPr/>
      </xdr:nvSpPr>
      <xdr:spPr>
        <a:xfrm>
          <a:off x="731520" y="432816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bg2">
                  <a:lumMod val="75000"/>
                </a:schemeClr>
              </a:solidFill>
            </a:rPr>
            <a:t>Sales</a:t>
          </a:r>
        </a:p>
      </xdr:txBody>
    </xdr:sp>
    <xdr:clientData/>
  </xdr:twoCellAnchor>
  <xdr:twoCellAnchor editAs="absolute">
    <xdr:from>
      <xdr:col>1</xdr:col>
      <xdr:colOff>342900</xdr:colOff>
      <xdr:row>20</xdr:row>
      <xdr:rowOff>99060</xdr:rowOff>
    </xdr:from>
    <xdr:to>
      <xdr:col>1</xdr:col>
      <xdr:colOff>1333500</xdr:colOff>
      <xdr:row>22</xdr:row>
      <xdr:rowOff>106680</xdr:rowOff>
    </xdr:to>
    <xdr:sp macro="" textlink="">
      <xdr:nvSpPr>
        <xdr:cNvPr id="11" name="Rectangle 10">
          <a:hlinkClick xmlns:r="http://schemas.openxmlformats.org/officeDocument/2006/relationships" r:id="rId10"/>
          <a:extLst>
            <a:ext uri="{FF2B5EF4-FFF2-40B4-BE49-F238E27FC236}">
              <a16:creationId xmlns:a16="http://schemas.microsoft.com/office/drawing/2014/main" id="{CE6E26EC-2E61-440F-8F1A-AA12B47B70A5}"/>
            </a:ext>
          </a:extLst>
        </xdr:cNvPr>
        <xdr:cNvSpPr/>
      </xdr:nvSpPr>
      <xdr:spPr>
        <a:xfrm>
          <a:off x="762000" y="467106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bg2">
                  <a:lumMod val="75000"/>
                </a:schemeClr>
              </a:solidFill>
            </a:rPr>
            <a:t>Inventory</a:t>
          </a:r>
        </a:p>
      </xdr:txBody>
    </xdr:sp>
    <xdr:clientData/>
  </xdr:twoCellAnchor>
  <xdr:twoCellAnchor editAs="absolute">
    <xdr:from>
      <xdr:col>1</xdr:col>
      <xdr:colOff>109920</xdr:colOff>
      <xdr:row>20</xdr:row>
      <xdr:rowOff>144780</xdr:rowOff>
    </xdr:from>
    <xdr:to>
      <xdr:col>1</xdr:col>
      <xdr:colOff>361920</xdr:colOff>
      <xdr:row>22</xdr:row>
      <xdr:rowOff>31020</xdr:rowOff>
    </xdr:to>
    <xdr:pic>
      <xdr:nvPicPr>
        <xdr:cNvPr id="12" name="Graphic 11" descr="Checklist with solid fill">
          <a:extLst>
            <a:ext uri="{FF2B5EF4-FFF2-40B4-BE49-F238E27FC236}">
              <a16:creationId xmlns:a16="http://schemas.microsoft.com/office/drawing/2014/main" id="{C3B2861A-D07C-454F-891D-B2752EAE9C9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29020" y="4716780"/>
          <a:ext cx="252000" cy="252000"/>
        </a:xfrm>
        <a:prstGeom prst="rect">
          <a:avLst/>
        </a:prstGeom>
      </xdr:spPr>
    </xdr:pic>
    <xdr:clientData/>
  </xdr:twoCellAnchor>
  <xdr:twoCellAnchor editAs="absolute">
    <xdr:from>
      <xdr:col>1</xdr:col>
      <xdr:colOff>102300</xdr:colOff>
      <xdr:row>16</xdr:row>
      <xdr:rowOff>84100</xdr:rowOff>
    </xdr:from>
    <xdr:to>
      <xdr:col>1</xdr:col>
      <xdr:colOff>354300</xdr:colOff>
      <xdr:row>17</xdr:row>
      <xdr:rowOff>153220</xdr:rowOff>
    </xdr:to>
    <xdr:pic>
      <xdr:nvPicPr>
        <xdr:cNvPr id="13" name="Graphic 12" descr="Clipboard with solid fill">
          <a:extLst>
            <a:ext uri="{FF2B5EF4-FFF2-40B4-BE49-F238E27FC236}">
              <a16:creationId xmlns:a16="http://schemas.microsoft.com/office/drawing/2014/main" id="{0ABF69D3-72D9-48D9-BDD4-2D8311E2B61E}"/>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21400" y="3924580"/>
          <a:ext cx="252000" cy="252000"/>
        </a:xfrm>
        <a:prstGeom prst="rect">
          <a:avLst/>
        </a:prstGeom>
      </xdr:spPr>
    </xdr:pic>
    <xdr:clientData/>
  </xdr:twoCellAnchor>
  <xdr:twoCellAnchor editAs="absolute">
    <xdr:from>
      <xdr:col>1</xdr:col>
      <xdr:colOff>87060</xdr:colOff>
      <xdr:row>14</xdr:row>
      <xdr:rowOff>171870</xdr:rowOff>
    </xdr:from>
    <xdr:to>
      <xdr:col>1</xdr:col>
      <xdr:colOff>339060</xdr:colOff>
      <xdr:row>15</xdr:row>
      <xdr:rowOff>126690</xdr:rowOff>
    </xdr:to>
    <xdr:pic>
      <xdr:nvPicPr>
        <xdr:cNvPr id="14" name="Graphic 13" descr="Connections with solid fill">
          <a:extLst>
            <a:ext uri="{FF2B5EF4-FFF2-40B4-BE49-F238E27FC236}">
              <a16:creationId xmlns:a16="http://schemas.microsoft.com/office/drawing/2014/main" id="{E6C945B9-0D68-48A7-B34B-4AE109583E06}"/>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506160" y="3532290"/>
          <a:ext cx="252000" cy="252000"/>
        </a:xfrm>
        <a:prstGeom prst="rect">
          <a:avLst/>
        </a:prstGeom>
      </xdr:spPr>
    </xdr:pic>
    <xdr:clientData/>
  </xdr:twoCellAnchor>
  <xdr:twoCellAnchor editAs="absolute">
    <xdr:from>
      <xdr:col>1</xdr:col>
      <xdr:colOff>79440</xdr:colOff>
      <xdr:row>11</xdr:row>
      <xdr:rowOff>252020</xdr:rowOff>
    </xdr:from>
    <xdr:to>
      <xdr:col>1</xdr:col>
      <xdr:colOff>331440</xdr:colOff>
      <xdr:row>12</xdr:row>
      <xdr:rowOff>206840</xdr:rowOff>
    </xdr:to>
    <xdr:pic>
      <xdr:nvPicPr>
        <xdr:cNvPr id="15" name="Graphic 14" descr="Group of people with solid fill">
          <a:extLst>
            <a:ext uri="{FF2B5EF4-FFF2-40B4-BE49-F238E27FC236}">
              <a16:creationId xmlns:a16="http://schemas.microsoft.com/office/drawing/2014/main" id="{AEE1372C-A531-4EBC-A819-B1FE9E9C06A4}"/>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498540" y="2720900"/>
          <a:ext cx="252000" cy="252000"/>
        </a:xfrm>
        <a:prstGeom prst="rect">
          <a:avLst/>
        </a:prstGeom>
      </xdr:spPr>
    </xdr:pic>
    <xdr:clientData/>
  </xdr:twoCellAnchor>
  <xdr:twoCellAnchor editAs="absolute">
    <xdr:from>
      <xdr:col>1</xdr:col>
      <xdr:colOff>64200</xdr:colOff>
      <xdr:row>13</xdr:row>
      <xdr:rowOff>64200</xdr:rowOff>
    </xdr:from>
    <xdr:to>
      <xdr:col>1</xdr:col>
      <xdr:colOff>358140</xdr:colOff>
      <xdr:row>14</xdr:row>
      <xdr:rowOff>60960</xdr:rowOff>
    </xdr:to>
    <xdr:pic>
      <xdr:nvPicPr>
        <xdr:cNvPr id="16" name="Graphic 15" descr="Male profile with solid fill">
          <a:extLst>
            <a:ext uri="{FF2B5EF4-FFF2-40B4-BE49-F238E27FC236}">
              <a16:creationId xmlns:a16="http://schemas.microsoft.com/office/drawing/2014/main" id="{4642D1CA-3849-4765-A98B-4C823F1BDD65}"/>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483300" y="3127440"/>
          <a:ext cx="293940" cy="293940"/>
        </a:xfrm>
        <a:prstGeom prst="rect">
          <a:avLst/>
        </a:prstGeom>
      </xdr:spPr>
    </xdr:pic>
    <xdr:clientData/>
  </xdr:twoCellAnchor>
  <xdr:twoCellAnchor editAs="absolute">
    <xdr:from>
      <xdr:col>1</xdr:col>
      <xdr:colOff>71820</xdr:colOff>
      <xdr:row>9</xdr:row>
      <xdr:rowOff>84660</xdr:rowOff>
    </xdr:from>
    <xdr:to>
      <xdr:col>1</xdr:col>
      <xdr:colOff>323820</xdr:colOff>
      <xdr:row>10</xdr:row>
      <xdr:rowOff>39480</xdr:rowOff>
    </xdr:to>
    <xdr:pic>
      <xdr:nvPicPr>
        <xdr:cNvPr id="17" name="Graphic 16" descr="Presentation with bar chart with solid fill">
          <a:extLst>
            <a:ext uri="{FF2B5EF4-FFF2-40B4-BE49-F238E27FC236}">
              <a16:creationId xmlns:a16="http://schemas.microsoft.com/office/drawing/2014/main" id="{8164DFFB-2DCD-4DF6-BCD0-0553E8F495F3}"/>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490920" y="1959180"/>
          <a:ext cx="252000" cy="252000"/>
        </a:xfrm>
        <a:prstGeom prst="rect">
          <a:avLst/>
        </a:prstGeom>
      </xdr:spPr>
    </xdr:pic>
    <xdr:clientData/>
  </xdr:twoCellAnchor>
  <xdr:twoCellAnchor editAs="absolute">
    <xdr:from>
      <xdr:col>1</xdr:col>
      <xdr:colOff>71820</xdr:colOff>
      <xdr:row>10</xdr:row>
      <xdr:rowOff>195010</xdr:rowOff>
    </xdr:from>
    <xdr:to>
      <xdr:col>1</xdr:col>
      <xdr:colOff>323820</xdr:colOff>
      <xdr:row>11</xdr:row>
      <xdr:rowOff>149830</xdr:rowOff>
    </xdr:to>
    <xdr:pic>
      <xdr:nvPicPr>
        <xdr:cNvPr id="18" name="Graphic 17" descr="User with solid fill">
          <a:extLst>
            <a:ext uri="{FF2B5EF4-FFF2-40B4-BE49-F238E27FC236}">
              <a16:creationId xmlns:a16="http://schemas.microsoft.com/office/drawing/2014/main" id="{F6C74EFD-856F-4DB1-BEE0-CF2B09E48106}"/>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490920" y="2366710"/>
          <a:ext cx="252000" cy="252000"/>
        </a:xfrm>
        <a:prstGeom prst="rect">
          <a:avLst/>
        </a:prstGeom>
      </xdr:spPr>
    </xdr:pic>
    <xdr:clientData/>
  </xdr:twoCellAnchor>
  <xdr:twoCellAnchor editAs="absolute">
    <xdr:from>
      <xdr:col>1</xdr:col>
      <xdr:colOff>102300</xdr:colOff>
      <xdr:row>18</xdr:row>
      <xdr:rowOff>118250</xdr:rowOff>
    </xdr:from>
    <xdr:to>
      <xdr:col>1</xdr:col>
      <xdr:colOff>354300</xdr:colOff>
      <xdr:row>20</xdr:row>
      <xdr:rowOff>4490</xdr:rowOff>
    </xdr:to>
    <xdr:pic>
      <xdr:nvPicPr>
        <xdr:cNvPr id="19" name="Graphic 18" descr="Mathematics with solid fill">
          <a:extLst>
            <a:ext uri="{FF2B5EF4-FFF2-40B4-BE49-F238E27FC236}">
              <a16:creationId xmlns:a16="http://schemas.microsoft.com/office/drawing/2014/main" id="{D6C45EC5-893E-4F29-BF6C-96618BEDF111}"/>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521400" y="4324490"/>
          <a:ext cx="252000" cy="252000"/>
        </a:xfrm>
        <a:prstGeom prst="rect">
          <a:avLst/>
        </a:prstGeom>
      </xdr:spPr>
    </xdr:pic>
    <xdr:clientData/>
  </xdr:twoCellAnchor>
  <xdr:twoCellAnchor editAs="absolute">
    <xdr:from>
      <xdr:col>3</xdr:col>
      <xdr:colOff>0</xdr:colOff>
      <xdr:row>0</xdr:row>
      <xdr:rowOff>175260</xdr:rowOff>
    </xdr:from>
    <xdr:to>
      <xdr:col>11</xdr:col>
      <xdr:colOff>464820</xdr:colOff>
      <xdr:row>4</xdr:row>
      <xdr:rowOff>137160</xdr:rowOff>
    </xdr:to>
    <xdr:sp macro="" textlink="">
      <xdr:nvSpPr>
        <xdr:cNvPr id="20" name="Rectangle 19">
          <a:extLst>
            <a:ext uri="{FF2B5EF4-FFF2-40B4-BE49-F238E27FC236}">
              <a16:creationId xmlns:a16="http://schemas.microsoft.com/office/drawing/2014/main" id="{4C6405FB-B2A5-49C8-A4F1-2CAAC3B5B67A}"/>
            </a:ext>
          </a:extLst>
        </xdr:cNvPr>
        <xdr:cNvSpPr/>
      </xdr:nvSpPr>
      <xdr:spPr>
        <a:xfrm>
          <a:off x="2522220" y="175260"/>
          <a:ext cx="11551920" cy="693420"/>
        </a:xfrm>
        <a:prstGeom prst="rect">
          <a:avLst/>
        </a:prstGeom>
        <a:solidFill>
          <a:schemeClr val="bg1"/>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3200" b="1" baseline="0">
              <a:solidFill>
                <a:schemeClr val="tx1"/>
              </a:solidFill>
            </a:rPr>
            <a:t>  Customers</a:t>
          </a:r>
          <a:endParaRPr lang="en-IN" sz="3200" b="1">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457200</xdr:colOff>
      <xdr:row>3</xdr:row>
      <xdr:rowOff>114300</xdr:rowOff>
    </xdr:from>
    <xdr:to>
      <xdr:col>1</xdr:col>
      <xdr:colOff>1082040</xdr:colOff>
      <xdr:row>7</xdr:row>
      <xdr:rowOff>7620</xdr:rowOff>
    </xdr:to>
    <xdr:pic>
      <xdr:nvPicPr>
        <xdr:cNvPr id="2" name="Graphic 1" descr="Target Audience with solid fill">
          <a:extLst>
            <a:ext uri="{FF2B5EF4-FFF2-40B4-BE49-F238E27FC236}">
              <a16:creationId xmlns:a16="http://schemas.microsoft.com/office/drawing/2014/main" id="{509A8F35-071D-405C-B12C-E810A254B76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76300" y="662940"/>
          <a:ext cx="624840" cy="624840"/>
        </a:xfrm>
        <a:prstGeom prst="rect">
          <a:avLst/>
        </a:prstGeom>
      </xdr:spPr>
    </xdr:pic>
    <xdr:clientData/>
  </xdr:twoCellAnchor>
  <xdr:twoCellAnchor editAs="absolute">
    <xdr:from>
      <xdr:col>1</xdr:col>
      <xdr:colOff>22860</xdr:colOff>
      <xdr:row>6</xdr:row>
      <xdr:rowOff>129540</xdr:rowOff>
    </xdr:from>
    <xdr:to>
      <xdr:col>1</xdr:col>
      <xdr:colOff>1562100</xdr:colOff>
      <xdr:row>11</xdr:row>
      <xdr:rowOff>60960</xdr:rowOff>
    </xdr:to>
    <xdr:sp macro="" textlink="">
      <xdr:nvSpPr>
        <xdr:cNvPr id="3" name="Rectangle 2">
          <a:extLst>
            <a:ext uri="{FF2B5EF4-FFF2-40B4-BE49-F238E27FC236}">
              <a16:creationId xmlns:a16="http://schemas.microsoft.com/office/drawing/2014/main" id="{7329F41D-E005-4947-9E35-44163406CC10}"/>
            </a:ext>
          </a:extLst>
        </xdr:cNvPr>
        <xdr:cNvSpPr/>
      </xdr:nvSpPr>
      <xdr:spPr>
        <a:xfrm>
          <a:off x="441960" y="1226820"/>
          <a:ext cx="1539240" cy="5943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Inventory Management System</a:t>
          </a:r>
        </a:p>
      </xdr:txBody>
    </xdr:sp>
    <xdr:clientData/>
  </xdr:twoCellAnchor>
  <xdr:twoCellAnchor editAs="absolute">
    <xdr:from>
      <xdr:col>1</xdr:col>
      <xdr:colOff>312420</xdr:colOff>
      <xdr:row>11</xdr:row>
      <xdr:rowOff>160020</xdr:rowOff>
    </xdr:from>
    <xdr:to>
      <xdr:col>1</xdr:col>
      <xdr:colOff>1303020</xdr:colOff>
      <xdr:row>21</xdr:row>
      <xdr:rowOff>53340</xdr:rowOff>
    </xdr:to>
    <xdr:sp macro="" textlink="">
      <xdr:nvSpPr>
        <xdr:cNvPr id="4" name="Rectangle 3">
          <a:hlinkClick xmlns:r="http://schemas.openxmlformats.org/officeDocument/2006/relationships" r:id="rId3"/>
          <a:extLst>
            <a:ext uri="{FF2B5EF4-FFF2-40B4-BE49-F238E27FC236}">
              <a16:creationId xmlns:a16="http://schemas.microsoft.com/office/drawing/2014/main" id="{923E594A-AC22-4F84-BA42-17088BF66677}"/>
            </a:ext>
          </a:extLst>
        </xdr:cNvPr>
        <xdr:cNvSpPr/>
      </xdr:nvSpPr>
      <xdr:spPr>
        <a:xfrm>
          <a:off x="731520" y="192024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bg2">
                  <a:lumMod val="75000"/>
                </a:schemeClr>
              </a:solidFill>
            </a:rPr>
            <a:t>Dashboard</a:t>
          </a:r>
        </a:p>
      </xdr:txBody>
    </xdr:sp>
    <xdr:clientData/>
  </xdr:twoCellAnchor>
  <xdr:twoCellAnchor editAs="absolute">
    <xdr:from>
      <xdr:col>1</xdr:col>
      <xdr:colOff>312420</xdr:colOff>
      <xdr:row>21</xdr:row>
      <xdr:rowOff>99060</xdr:rowOff>
    </xdr:from>
    <xdr:to>
      <xdr:col>1</xdr:col>
      <xdr:colOff>1303020</xdr:colOff>
      <xdr:row>23</xdr:row>
      <xdr:rowOff>106680</xdr:rowOff>
    </xdr:to>
    <xdr:sp macro="" textlink="">
      <xdr:nvSpPr>
        <xdr:cNvPr id="5" name="Rectangle 4">
          <a:hlinkClick xmlns:r="http://schemas.openxmlformats.org/officeDocument/2006/relationships" r:id="rId4"/>
          <a:extLst>
            <a:ext uri="{FF2B5EF4-FFF2-40B4-BE49-F238E27FC236}">
              <a16:creationId xmlns:a16="http://schemas.microsoft.com/office/drawing/2014/main" id="{49386CB7-6855-42C4-B3EB-93ABD7FF18F7}"/>
            </a:ext>
          </a:extLst>
        </xdr:cNvPr>
        <xdr:cNvSpPr/>
      </xdr:nvSpPr>
      <xdr:spPr>
        <a:xfrm>
          <a:off x="731520" y="233934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bg2">
                  <a:lumMod val="75000"/>
                </a:schemeClr>
              </a:solidFill>
            </a:rPr>
            <a:t>Customers</a:t>
          </a:r>
        </a:p>
      </xdr:txBody>
    </xdr:sp>
    <xdr:clientData/>
  </xdr:twoCellAnchor>
  <xdr:twoCellAnchor editAs="absolute">
    <xdr:from>
      <xdr:col>1</xdr:col>
      <xdr:colOff>312420</xdr:colOff>
      <xdr:row>23</xdr:row>
      <xdr:rowOff>129540</xdr:rowOff>
    </xdr:from>
    <xdr:to>
      <xdr:col>1</xdr:col>
      <xdr:colOff>1303020</xdr:colOff>
      <xdr:row>25</xdr:row>
      <xdr:rowOff>137160</xdr:rowOff>
    </xdr:to>
    <xdr:sp macro="" textlink="">
      <xdr:nvSpPr>
        <xdr:cNvPr id="6" name="Rectangle 5">
          <a:hlinkClick xmlns:r="http://schemas.openxmlformats.org/officeDocument/2006/relationships" r:id="rId5"/>
          <a:extLst>
            <a:ext uri="{FF2B5EF4-FFF2-40B4-BE49-F238E27FC236}">
              <a16:creationId xmlns:a16="http://schemas.microsoft.com/office/drawing/2014/main" id="{DBAAF961-312B-4E43-9730-BD92A0B5491B}"/>
            </a:ext>
          </a:extLst>
        </xdr:cNvPr>
        <xdr:cNvSpPr/>
      </xdr:nvSpPr>
      <xdr:spPr>
        <a:xfrm>
          <a:off x="731520" y="273558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Products</a:t>
          </a:r>
        </a:p>
      </xdr:txBody>
    </xdr:sp>
    <xdr:clientData/>
  </xdr:twoCellAnchor>
  <xdr:twoCellAnchor editAs="absolute">
    <xdr:from>
      <xdr:col>1</xdr:col>
      <xdr:colOff>312420</xdr:colOff>
      <xdr:row>25</xdr:row>
      <xdr:rowOff>167640</xdr:rowOff>
    </xdr:from>
    <xdr:to>
      <xdr:col>1</xdr:col>
      <xdr:colOff>1303020</xdr:colOff>
      <xdr:row>27</xdr:row>
      <xdr:rowOff>175260</xdr:rowOff>
    </xdr:to>
    <xdr:sp macro="" textlink="">
      <xdr:nvSpPr>
        <xdr:cNvPr id="7" name="Rectangle 6">
          <a:hlinkClick xmlns:r="http://schemas.openxmlformats.org/officeDocument/2006/relationships" r:id="rId6"/>
          <a:extLst>
            <a:ext uri="{FF2B5EF4-FFF2-40B4-BE49-F238E27FC236}">
              <a16:creationId xmlns:a16="http://schemas.microsoft.com/office/drawing/2014/main" id="{43B9268D-5ACB-48E8-8872-DA8F2EED532B}"/>
            </a:ext>
          </a:extLst>
        </xdr:cNvPr>
        <xdr:cNvSpPr/>
      </xdr:nvSpPr>
      <xdr:spPr>
        <a:xfrm>
          <a:off x="731520" y="313944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bg2">
                  <a:lumMod val="75000"/>
                </a:schemeClr>
              </a:solidFill>
            </a:rPr>
            <a:t>Vendors</a:t>
          </a:r>
        </a:p>
      </xdr:txBody>
    </xdr:sp>
    <xdr:clientData/>
  </xdr:twoCellAnchor>
  <xdr:twoCellAnchor editAs="absolute">
    <xdr:from>
      <xdr:col>1</xdr:col>
      <xdr:colOff>312420</xdr:colOff>
      <xdr:row>27</xdr:row>
      <xdr:rowOff>175260</xdr:rowOff>
    </xdr:from>
    <xdr:to>
      <xdr:col>1</xdr:col>
      <xdr:colOff>1303020</xdr:colOff>
      <xdr:row>30</xdr:row>
      <xdr:rowOff>0</xdr:rowOff>
    </xdr:to>
    <xdr:sp macro="" textlink="">
      <xdr:nvSpPr>
        <xdr:cNvPr id="8" name="Rectangle 7">
          <a:hlinkClick xmlns:r="http://schemas.openxmlformats.org/officeDocument/2006/relationships" r:id="rId7"/>
          <a:extLst>
            <a:ext uri="{FF2B5EF4-FFF2-40B4-BE49-F238E27FC236}">
              <a16:creationId xmlns:a16="http://schemas.microsoft.com/office/drawing/2014/main" id="{E8F9F232-7476-4CBA-8C6E-F4EEE5A57CE7}"/>
            </a:ext>
          </a:extLst>
        </xdr:cNvPr>
        <xdr:cNvSpPr/>
      </xdr:nvSpPr>
      <xdr:spPr>
        <a:xfrm>
          <a:off x="731520" y="351282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bg2">
                  <a:lumMod val="75000"/>
                </a:schemeClr>
              </a:solidFill>
            </a:rPr>
            <a:t>New</a:t>
          </a:r>
          <a:r>
            <a:rPr lang="en-IN" sz="1400" b="0" baseline="0">
              <a:solidFill>
                <a:schemeClr val="bg2">
                  <a:lumMod val="75000"/>
                </a:schemeClr>
              </a:solidFill>
            </a:rPr>
            <a:t> Entry</a:t>
          </a:r>
          <a:endParaRPr lang="en-IN" sz="1400" b="0">
            <a:solidFill>
              <a:schemeClr val="bg2">
                <a:lumMod val="75000"/>
              </a:schemeClr>
            </a:solidFill>
          </a:endParaRPr>
        </a:p>
      </xdr:txBody>
    </xdr:sp>
    <xdr:clientData/>
  </xdr:twoCellAnchor>
  <xdr:twoCellAnchor editAs="absolute">
    <xdr:from>
      <xdr:col>1</xdr:col>
      <xdr:colOff>312420</xdr:colOff>
      <xdr:row>30</xdr:row>
      <xdr:rowOff>60960</xdr:rowOff>
    </xdr:from>
    <xdr:to>
      <xdr:col>1</xdr:col>
      <xdr:colOff>1303020</xdr:colOff>
      <xdr:row>32</xdr:row>
      <xdr:rowOff>68580</xdr:rowOff>
    </xdr:to>
    <xdr:sp macro="" textlink="">
      <xdr:nvSpPr>
        <xdr:cNvPr id="9" name="Rectangle 8">
          <a:hlinkClick xmlns:r="http://schemas.openxmlformats.org/officeDocument/2006/relationships" r:id="rId8"/>
          <a:extLst>
            <a:ext uri="{FF2B5EF4-FFF2-40B4-BE49-F238E27FC236}">
              <a16:creationId xmlns:a16="http://schemas.microsoft.com/office/drawing/2014/main" id="{BC914879-48EC-46BA-8C04-56534F993C8C}"/>
            </a:ext>
          </a:extLst>
        </xdr:cNvPr>
        <xdr:cNvSpPr/>
      </xdr:nvSpPr>
      <xdr:spPr>
        <a:xfrm>
          <a:off x="731520" y="394716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bg2">
                  <a:lumMod val="75000"/>
                </a:schemeClr>
              </a:solidFill>
            </a:rPr>
            <a:t>Purchase</a:t>
          </a:r>
        </a:p>
      </xdr:txBody>
    </xdr:sp>
    <xdr:clientData/>
  </xdr:twoCellAnchor>
  <xdr:twoCellAnchor editAs="absolute">
    <xdr:from>
      <xdr:col>1</xdr:col>
      <xdr:colOff>312420</xdr:colOff>
      <xdr:row>32</xdr:row>
      <xdr:rowOff>76200</xdr:rowOff>
    </xdr:from>
    <xdr:to>
      <xdr:col>1</xdr:col>
      <xdr:colOff>1303020</xdr:colOff>
      <xdr:row>34</xdr:row>
      <xdr:rowOff>83820</xdr:rowOff>
    </xdr:to>
    <xdr:sp macro="" textlink="">
      <xdr:nvSpPr>
        <xdr:cNvPr id="10" name="Rectangle 9">
          <a:hlinkClick xmlns:r="http://schemas.openxmlformats.org/officeDocument/2006/relationships" r:id="rId9"/>
          <a:extLst>
            <a:ext uri="{FF2B5EF4-FFF2-40B4-BE49-F238E27FC236}">
              <a16:creationId xmlns:a16="http://schemas.microsoft.com/office/drawing/2014/main" id="{4B855891-EFA6-40FE-8B32-F3819F9B5146}"/>
            </a:ext>
          </a:extLst>
        </xdr:cNvPr>
        <xdr:cNvSpPr/>
      </xdr:nvSpPr>
      <xdr:spPr>
        <a:xfrm>
          <a:off x="731520" y="432816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bg2">
                  <a:lumMod val="75000"/>
                </a:schemeClr>
              </a:solidFill>
            </a:rPr>
            <a:t>Sales</a:t>
          </a:r>
        </a:p>
      </xdr:txBody>
    </xdr:sp>
    <xdr:clientData/>
  </xdr:twoCellAnchor>
  <xdr:twoCellAnchor editAs="absolute">
    <xdr:from>
      <xdr:col>1</xdr:col>
      <xdr:colOff>342900</xdr:colOff>
      <xdr:row>34</xdr:row>
      <xdr:rowOff>53340</xdr:rowOff>
    </xdr:from>
    <xdr:to>
      <xdr:col>1</xdr:col>
      <xdr:colOff>1333500</xdr:colOff>
      <xdr:row>36</xdr:row>
      <xdr:rowOff>60960</xdr:rowOff>
    </xdr:to>
    <xdr:sp macro="" textlink="">
      <xdr:nvSpPr>
        <xdr:cNvPr id="11" name="Rectangle 10">
          <a:hlinkClick xmlns:r="http://schemas.openxmlformats.org/officeDocument/2006/relationships" r:id="rId10"/>
          <a:extLst>
            <a:ext uri="{FF2B5EF4-FFF2-40B4-BE49-F238E27FC236}">
              <a16:creationId xmlns:a16="http://schemas.microsoft.com/office/drawing/2014/main" id="{D504ADD9-7F6D-4C81-85A0-136848898BB8}"/>
            </a:ext>
          </a:extLst>
        </xdr:cNvPr>
        <xdr:cNvSpPr/>
      </xdr:nvSpPr>
      <xdr:spPr>
        <a:xfrm>
          <a:off x="762000" y="467106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bg2">
                  <a:lumMod val="75000"/>
                </a:schemeClr>
              </a:solidFill>
            </a:rPr>
            <a:t>Inventory</a:t>
          </a:r>
        </a:p>
      </xdr:txBody>
    </xdr:sp>
    <xdr:clientData/>
  </xdr:twoCellAnchor>
  <xdr:twoCellAnchor editAs="absolute">
    <xdr:from>
      <xdr:col>1</xdr:col>
      <xdr:colOff>109920</xdr:colOff>
      <xdr:row>34</xdr:row>
      <xdr:rowOff>99060</xdr:rowOff>
    </xdr:from>
    <xdr:to>
      <xdr:col>1</xdr:col>
      <xdr:colOff>361920</xdr:colOff>
      <xdr:row>35</xdr:row>
      <xdr:rowOff>168180</xdr:rowOff>
    </xdr:to>
    <xdr:pic>
      <xdr:nvPicPr>
        <xdr:cNvPr id="12" name="Graphic 11" descr="Checklist with solid fill">
          <a:extLst>
            <a:ext uri="{FF2B5EF4-FFF2-40B4-BE49-F238E27FC236}">
              <a16:creationId xmlns:a16="http://schemas.microsoft.com/office/drawing/2014/main" id="{FD6579B4-E03D-4C0A-B3BE-DE7610EE3C0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29020" y="4716780"/>
          <a:ext cx="252000" cy="252000"/>
        </a:xfrm>
        <a:prstGeom prst="rect">
          <a:avLst/>
        </a:prstGeom>
      </xdr:spPr>
    </xdr:pic>
    <xdr:clientData/>
  </xdr:twoCellAnchor>
  <xdr:twoCellAnchor editAs="absolute">
    <xdr:from>
      <xdr:col>1</xdr:col>
      <xdr:colOff>102300</xdr:colOff>
      <xdr:row>30</xdr:row>
      <xdr:rowOff>38380</xdr:rowOff>
    </xdr:from>
    <xdr:to>
      <xdr:col>1</xdr:col>
      <xdr:colOff>354300</xdr:colOff>
      <xdr:row>31</xdr:row>
      <xdr:rowOff>107500</xdr:rowOff>
    </xdr:to>
    <xdr:pic>
      <xdr:nvPicPr>
        <xdr:cNvPr id="13" name="Graphic 12" descr="Clipboard with solid fill">
          <a:extLst>
            <a:ext uri="{FF2B5EF4-FFF2-40B4-BE49-F238E27FC236}">
              <a16:creationId xmlns:a16="http://schemas.microsoft.com/office/drawing/2014/main" id="{04E9ECAD-9142-42F7-9E1B-33EF9D4ED197}"/>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21400" y="3924580"/>
          <a:ext cx="252000" cy="252000"/>
        </a:xfrm>
        <a:prstGeom prst="rect">
          <a:avLst/>
        </a:prstGeom>
      </xdr:spPr>
    </xdr:pic>
    <xdr:clientData/>
  </xdr:twoCellAnchor>
  <xdr:twoCellAnchor editAs="absolute">
    <xdr:from>
      <xdr:col>1</xdr:col>
      <xdr:colOff>94680</xdr:colOff>
      <xdr:row>27</xdr:row>
      <xdr:rowOff>179490</xdr:rowOff>
    </xdr:from>
    <xdr:to>
      <xdr:col>1</xdr:col>
      <xdr:colOff>346680</xdr:colOff>
      <xdr:row>29</xdr:row>
      <xdr:rowOff>65730</xdr:rowOff>
    </xdr:to>
    <xdr:pic>
      <xdr:nvPicPr>
        <xdr:cNvPr id="14" name="Graphic 13" descr="Connections with solid fill">
          <a:extLst>
            <a:ext uri="{FF2B5EF4-FFF2-40B4-BE49-F238E27FC236}">
              <a16:creationId xmlns:a16="http://schemas.microsoft.com/office/drawing/2014/main" id="{F5F1DCC3-0358-42C9-9EBD-E33D9EBC6BAA}"/>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513780" y="3517050"/>
          <a:ext cx="252000" cy="252000"/>
        </a:xfrm>
        <a:prstGeom prst="rect">
          <a:avLst/>
        </a:prstGeom>
      </xdr:spPr>
    </xdr:pic>
    <xdr:clientData/>
  </xdr:twoCellAnchor>
  <xdr:twoCellAnchor editAs="absolute">
    <xdr:from>
      <xdr:col>1</xdr:col>
      <xdr:colOff>94680</xdr:colOff>
      <xdr:row>23</xdr:row>
      <xdr:rowOff>152960</xdr:rowOff>
    </xdr:from>
    <xdr:to>
      <xdr:col>1</xdr:col>
      <xdr:colOff>346680</xdr:colOff>
      <xdr:row>25</xdr:row>
      <xdr:rowOff>39200</xdr:rowOff>
    </xdr:to>
    <xdr:pic>
      <xdr:nvPicPr>
        <xdr:cNvPr id="15" name="Graphic 14" descr="Group of people with solid fill">
          <a:extLst>
            <a:ext uri="{FF2B5EF4-FFF2-40B4-BE49-F238E27FC236}">
              <a16:creationId xmlns:a16="http://schemas.microsoft.com/office/drawing/2014/main" id="{BACA202D-B986-44C6-A11B-5252417FFA3A}"/>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513780" y="2759000"/>
          <a:ext cx="252000" cy="252000"/>
        </a:xfrm>
        <a:prstGeom prst="rect">
          <a:avLst/>
        </a:prstGeom>
      </xdr:spPr>
    </xdr:pic>
    <xdr:clientData/>
  </xdr:twoCellAnchor>
  <xdr:twoCellAnchor editAs="absolute">
    <xdr:from>
      <xdr:col>1</xdr:col>
      <xdr:colOff>79440</xdr:colOff>
      <xdr:row>25</xdr:row>
      <xdr:rowOff>163260</xdr:rowOff>
    </xdr:from>
    <xdr:to>
      <xdr:col>1</xdr:col>
      <xdr:colOff>373380</xdr:colOff>
      <xdr:row>27</xdr:row>
      <xdr:rowOff>91440</xdr:rowOff>
    </xdr:to>
    <xdr:pic>
      <xdr:nvPicPr>
        <xdr:cNvPr id="16" name="Graphic 15" descr="Male profile with solid fill">
          <a:extLst>
            <a:ext uri="{FF2B5EF4-FFF2-40B4-BE49-F238E27FC236}">
              <a16:creationId xmlns:a16="http://schemas.microsoft.com/office/drawing/2014/main" id="{BED2CDEE-146C-4CF2-AE10-F309259F4FEE}"/>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498540" y="3135060"/>
          <a:ext cx="293940" cy="293940"/>
        </a:xfrm>
        <a:prstGeom prst="rect">
          <a:avLst/>
        </a:prstGeom>
      </xdr:spPr>
    </xdr:pic>
    <xdr:clientData/>
  </xdr:twoCellAnchor>
  <xdr:twoCellAnchor editAs="absolute">
    <xdr:from>
      <xdr:col>1</xdr:col>
      <xdr:colOff>71820</xdr:colOff>
      <xdr:row>11</xdr:row>
      <xdr:rowOff>198960</xdr:rowOff>
    </xdr:from>
    <xdr:to>
      <xdr:col>1</xdr:col>
      <xdr:colOff>323820</xdr:colOff>
      <xdr:row>20</xdr:row>
      <xdr:rowOff>153780</xdr:rowOff>
    </xdr:to>
    <xdr:pic>
      <xdr:nvPicPr>
        <xdr:cNvPr id="17" name="Graphic 16" descr="Presentation with bar chart with solid fill">
          <a:extLst>
            <a:ext uri="{FF2B5EF4-FFF2-40B4-BE49-F238E27FC236}">
              <a16:creationId xmlns:a16="http://schemas.microsoft.com/office/drawing/2014/main" id="{3AEA73F1-C3EF-4297-A609-D46CEA670766}"/>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490920" y="1959180"/>
          <a:ext cx="252000" cy="252000"/>
        </a:xfrm>
        <a:prstGeom prst="rect">
          <a:avLst/>
        </a:prstGeom>
      </xdr:spPr>
    </xdr:pic>
    <xdr:clientData/>
  </xdr:twoCellAnchor>
  <xdr:twoCellAnchor editAs="absolute">
    <xdr:from>
      <xdr:col>1</xdr:col>
      <xdr:colOff>87060</xdr:colOff>
      <xdr:row>21</xdr:row>
      <xdr:rowOff>103570</xdr:rowOff>
    </xdr:from>
    <xdr:to>
      <xdr:col>1</xdr:col>
      <xdr:colOff>339060</xdr:colOff>
      <xdr:row>22</xdr:row>
      <xdr:rowOff>172690</xdr:rowOff>
    </xdr:to>
    <xdr:pic>
      <xdr:nvPicPr>
        <xdr:cNvPr id="18" name="Graphic 17" descr="User with solid fill">
          <a:extLst>
            <a:ext uri="{FF2B5EF4-FFF2-40B4-BE49-F238E27FC236}">
              <a16:creationId xmlns:a16="http://schemas.microsoft.com/office/drawing/2014/main" id="{B1745C22-7215-4D3A-AC20-CC4DB792DDF4}"/>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506160" y="2343850"/>
          <a:ext cx="252000" cy="252000"/>
        </a:xfrm>
        <a:prstGeom prst="rect">
          <a:avLst/>
        </a:prstGeom>
      </xdr:spPr>
    </xdr:pic>
    <xdr:clientData/>
  </xdr:twoCellAnchor>
  <xdr:twoCellAnchor editAs="absolute">
    <xdr:from>
      <xdr:col>1</xdr:col>
      <xdr:colOff>109920</xdr:colOff>
      <xdr:row>32</xdr:row>
      <xdr:rowOff>80150</xdr:rowOff>
    </xdr:from>
    <xdr:to>
      <xdr:col>1</xdr:col>
      <xdr:colOff>361920</xdr:colOff>
      <xdr:row>33</xdr:row>
      <xdr:rowOff>149270</xdr:rowOff>
    </xdr:to>
    <xdr:pic>
      <xdr:nvPicPr>
        <xdr:cNvPr id="19" name="Graphic 18" descr="Mathematics with solid fill">
          <a:extLst>
            <a:ext uri="{FF2B5EF4-FFF2-40B4-BE49-F238E27FC236}">
              <a16:creationId xmlns:a16="http://schemas.microsoft.com/office/drawing/2014/main" id="{5EE97142-497F-4A48-848A-C03C0E89D429}"/>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529020" y="4332110"/>
          <a:ext cx="252000" cy="252000"/>
        </a:xfrm>
        <a:prstGeom prst="rect">
          <a:avLst/>
        </a:prstGeom>
      </xdr:spPr>
    </xdr:pic>
    <xdr:clientData/>
  </xdr:twoCellAnchor>
  <xdr:twoCellAnchor editAs="absolute">
    <xdr:from>
      <xdr:col>3</xdr:col>
      <xdr:colOff>0</xdr:colOff>
      <xdr:row>0</xdr:row>
      <xdr:rowOff>175260</xdr:rowOff>
    </xdr:from>
    <xdr:to>
      <xdr:col>15</xdr:col>
      <xdr:colOff>38100</xdr:colOff>
      <xdr:row>4</xdr:row>
      <xdr:rowOff>137160</xdr:rowOff>
    </xdr:to>
    <xdr:sp macro="" textlink="">
      <xdr:nvSpPr>
        <xdr:cNvPr id="20" name="Rectangle 19">
          <a:extLst>
            <a:ext uri="{FF2B5EF4-FFF2-40B4-BE49-F238E27FC236}">
              <a16:creationId xmlns:a16="http://schemas.microsoft.com/office/drawing/2014/main" id="{69851C17-589C-4D85-9D94-AC4E9EE584B6}"/>
            </a:ext>
          </a:extLst>
        </xdr:cNvPr>
        <xdr:cNvSpPr/>
      </xdr:nvSpPr>
      <xdr:spPr>
        <a:xfrm>
          <a:off x="2514600" y="175260"/>
          <a:ext cx="11536680" cy="693420"/>
        </a:xfrm>
        <a:prstGeom prst="rect">
          <a:avLst/>
        </a:prstGeom>
        <a:solidFill>
          <a:schemeClr val="bg1"/>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3200" b="1" baseline="0"/>
            <a:t>P</a:t>
          </a:r>
          <a:r>
            <a:rPr lang="en-IN" sz="3200" b="1" baseline="0">
              <a:solidFill>
                <a:schemeClr val="tx1"/>
              </a:solidFill>
            </a:rPr>
            <a:t>Products</a:t>
          </a:r>
          <a:endParaRPr lang="en-IN" sz="3200" b="1"/>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457200</xdr:colOff>
      <xdr:row>3</xdr:row>
      <xdr:rowOff>114300</xdr:rowOff>
    </xdr:from>
    <xdr:to>
      <xdr:col>1</xdr:col>
      <xdr:colOff>1082040</xdr:colOff>
      <xdr:row>7</xdr:row>
      <xdr:rowOff>7620</xdr:rowOff>
    </xdr:to>
    <xdr:pic>
      <xdr:nvPicPr>
        <xdr:cNvPr id="2" name="Graphic 1" descr="Target Audience with solid fill">
          <a:extLst>
            <a:ext uri="{FF2B5EF4-FFF2-40B4-BE49-F238E27FC236}">
              <a16:creationId xmlns:a16="http://schemas.microsoft.com/office/drawing/2014/main" id="{2A68B298-1FB6-4950-9116-95ADEC8940D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76300" y="662940"/>
          <a:ext cx="624840" cy="624840"/>
        </a:xfrm>
        <a:prstGeom prst="rect">
          <a:avLst/>
        </a:prstGeom>
      </xdr:spPr>
    </xdr:pic>
    <xdr:clientData/>
  </xdr:twoCellAnchor>
  <xdr:twoCellAnchor editAs="absolute">
    <xdr:from>
      <xdr:col>1</xdr:col>
      <xdr:colOff>22860</xdr:colOff>
      <xdr:row>6</xdr:row>
      <xdr:rowOff>129540</xdr:rowOff>
    </xdr:from>
    <xdr:to>
      <xdr:col>1</xdr:col>
      <xdr:colOff>1562100</xdr:colOff>
      <xdr:row>9</xdr:row>
      <xdr:rowOff>60960</xdr:rowOff>
    </xdr:to>
    <xdr:sp macro="" textlink="">
      <xdr:nvSpPr>
        <xdr:cNvPr id="3" name="Rectangle 2">
          <a:extLst>
            <a:ext uri="{FF2B5EF4-FFF2-40B4-BE49-F238E27FC236}">
              <a16:creationId xmlns:a16="http://schemas.microsoft.com/office/drawing/2014/main" id="{98558F89-8DCB-4791-9BB7-A19F885D5897}"/>
            </a:ext>
          </a:extLst>
        </xdr:cNvPr>
        <xdr:cNvSpPr/>
      </xdr:nvSpPr>
      <xdr:spPr>
        <a:xfrm>
          <a:off x="441960" y="1226820"/>
          <a:ext cx="1539240" cy="5943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Inventory Management System</a:t>
          </a:r>
        </a:p>
      </xdr:txBody>
    </xdr:sp>
    <xdr:clientData/>
  </xdr:twoCellAnchor>
  <xdr:twoCellAnchor editAs="absolute">
    <xdr:from>
      <xdr:col>1</xdr:col>
      <xdr:colOff>312420</xdr:colOff>
      <xdr:row>9</xdr:row>
      <xdr:rowOff>160020</xdr:rowOff>
    </xdr:from>
    <xdr:to>
      <xdr:col>1</xdr:col>
      <xdr:colOff>1303020</xdr:colOff>
      <xdr:row>10</xdr:row>
      <xdr:rowOff>236220</xdr:rowOff>
    </xdr:to>
    <xdr:sp macro="" textlink="">
      <xdr:nvSpPr>
        <xdr:cNvPr id="4" name="Rectangle 3">
          <a:hlinkClick xmlns:r="http://schemas.openxmlformats.org/officeDocument/2006/relationships" r:id="rId3"/>
          <a:extLst>
            <a:ext uri="{FF2B5EF4-FFF2-40B4-BE49-F238E27FC236}">
              <a16:creationId xmlns:a16="http://schemas.microsoft.com/office/drawing/2014/main" id="{7DD7E9A5-EB51-4A14-8447-80A50D7D0DEC}"/>
            </a:ext>
          </a:extLst>
        </xdr:cNvPr>
        <xdr:cNvSpPr/>
      </xdr:nvSpPr>
      <xdr:spPr>
        <a:xfrm>
          <a:off x="731520" y="192024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bg2">
                  <a:lumMod val="75000"/>
                </a:schemeClr>
              </a:solidFill>
            </a:rPr>
            <a:t>Dashboard</a:t>
          </a:r>
        </a:p>
      </xdr:txBody>
    </xdr:sp>
    <xdr:clientData/>
  </xdr:twoCellAnchor>
  <xdr:twoCellAnchor editAs="absolute">
    <xdr:from>
      <xdr:col>1</xdr:col>
      <xdr:colOff>312420</xdr:colOff>
      <xdr:row>10</xdr:row>
      <xdr:rowOff>281940</xdr:rowOff>
    </xdr:from>
    <xdr:to>
      <xdr:col>1</xdr:col>
      <xdr:colOff>1303020</xdr:colOff>
      <xdr:row>12</xdr:row>
      <xdr:rowOff>60960</xdr:rowOff>
    </xdr:to>
    <xdr:sp macro="" textlink="">
      <xdr:nvSpPr>
        <xdr:cNvPr id="5" name="Rectangle 4">
          <a:hlinkClick xmlns:r="http://schemas.openxmlformats.org/officeDocument/2006/relationships" r:id="rId4"/>
          <a:extLst>
            <a:ext uri="{FF2B5EF4-FFF2-40B4-BE49-F238E27FC236}">
              <a16:creationId xmlns:a16="http://schemas.microsoft.com/office/drawing/2014/main" id="{487684B0-3316-4E79-9DBA-27AB810AB555}"/>
            </a:ext>
          </a:extLst>
        </xdr:cNvPr>
        <xdr:cNvSpPr/>
      </xdr:nvSpPr>
      <xdr:spPr>
        <a:xfrm>
          <a:off x="731520" y="233934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bg2">
                  <a:lumMod val="75000"/>
                </a:schemeClr>
              </a:solidFill>
            </a:rPr>
            <a:t>Customers</a:t>
          </a:r>
        </a:p>
      </xdr:txBody>
    </xdr:sp>
    <xdr:clientData/>
  </xdr:twoCellAnchor>
  <xdr:twoCellAnchor editAs="absolute">
    <xdr:from>
      <xdr:col>1</xdr:col>
      <xdr:colOff>312420</xdr:colOff>
      <xdr:row>12</xdr:row>
      <xdr:rowOff>83820</xdr:rowOff>
    </xdr:from>
    <xdr:to>
      <xdr:col>1</xdr:col>
      <xdr:colOff>1303020</xdr:colOff>
      <xdr:row>13</xdr:row>
      <xdr:rowOff>160020</xdr:rowOff>
    </xdr:to>
    <xdr:sp macro="" textlink="">
      <xdr:nvSpPr>
        <xdr:cNvPr id="6" name="Rectangle 5">
          <a:hlinkClick xmlns:r="http://schemas.openxmlformats.org/officeDocument/2006/relationships" r:id="rId5"/>
          <a:extLst>
            <a:ext uri="{FF2B5EF4-FFF2-40B4-BE49-F238E27FC236}">
              <a16:creationId xmlns:a16="http://schemas.microsoft.com/office/drawing/2014/main" id="{BCD1BBE6-2779-45A9-8D7C-9C1E59E94AE8}"/>
            </a:ext>
          </a:extLst>
        </xdr:cNvPr>
        <xdr:cNvSpPr/>
      </xdr:nvSpPr>
      <xdr:spPr>
        <a:xfrm>
          <a:off x="731520" y="273558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bg2">
                  <a:lumMod val="75000"/>
                </a:schemeClr>
              </a:solidFill>
            </a:rPr>
            <a:t>Products</a:t>
          </a:r>
        </a:p>
      </xdr:txBody>
    </xdr:sp>
    <xdr:clientData/>
  </xdr:twoCellAnchor>
  <xdr:twoCellAnchor editAs="absolute">
    <xdr:from>
      <xdr:col>1</xdr:col>
      <xdr:colOff>312420</xdr:colOff>
      <xdr:row>13</xdr:row>
      <xdr:rowOff>190500</xdr:rowOff>
    </xdr:from>
    <xdr:to>
      <xdr:col>1</xdr:col>
      <xdr:colOff>1303020</xdr:colOff>
      <xdr:row>14</xdr:row>
      <xdr:rowOff>266700</xdr:rowOff>
    </xdr:to>
    <xdr:sp macro="" textlink="">
      <xdr:nvSpPr>
        <xdr:cNvPr id="7" name="Rectangle 6">
          <a:hlinkClick xmlns:r="http://schemas.openxmlformats.org/officeDocument/2006/relationships" r:id="rId6"/>
          <a:extLst>
            <a:ext uri="{FF2B5EF4-FFF2-40B4-BE49-F238E27FC236}">
              <a16:creationId xmlns:a16="http://schemas.microsoft.com/office/drawing/2014/main" id="{574D3B2F-16F3-4D2D-A3A8-A6C5FB641238}"/>
            </a:ext>
          </a:extLst>
        </xdr:cNvPr>
        <xdr:cNvSpPr/>
      </xdr:nvSpPr>
      <xdr:spPr>
        <a:xfrm>
          <a:off x="731520" y="313944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Vendors</a:t>
          </a:r>
        </a:p>
      </xdr:txBody>
    </xdr:sp>
    <xdr:clientData/>
  </xdr:twoCellAnchor>
  <xdr:twoCellAnchor editAs="absolute">
    <xdr:from>
      <xdr:col>1</xdr:col>
      <xdr:colOff>312420</xdr:colOff>
      <xdr:row>14</xdr:row>
      <xdr:rowOff>266700</xdr:rowOff>
    </xdr:from>
    <xdr:to>
      <xdr:col>1</xdr:col>
      <xdr:colOff>1303020</xdr:colOff>
      <xdr:row>16</xdr:row>
      <xdr:rowOff>45720</xdr:rowOff>
    </xdr:to>
    <xdr:sp macro="" textlink="">
      <xdr:nvSpPr>
        <xdr:cNvPr id="8" name="Rectangle 7">
          <a:hlinkClick xmlns:r="http://schemas.openxmlformats.org/officeDocument/2006/relationships" r:id="rId7"/>
          <a:extLst>
            <a:ext uri="{FF2B5EF4-FFF2-40B4-BE49-F238E27FC236}">
              <a16:creationId xmlns:a16="http://schemas.microsoft.com/office/drawing/2014/main" id="{7C5A99E9-BCCE-4A28-8F4F-6983DAE5634C}"/>
            </a:ext>
          </a:extLst>
        </xdr:cNvPr>
        <xdr:cNvSpPr/>
      </xdr:nvSpPr>
      <xdr:spPr>
        <a:xfrm>
          <a:off x="731520" y="351282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bg2">
                  <a:lumMod val="75000"/>
                </a:schemeClr>
              </a:solidFill>
            </a:rPr>
            <a:t>New</a:t>
          </a:r>
          <a:r>
            <a:rPr lang="en-IN" sz="1400" b="0" baseline="0">
              <a:solidFill>
                <a:schemeClr val="bg2">
                  <a:lumMod val="75000"/>
                </a:schemeClr>
              </a:solidFill>
            </a:rPr>
            <a:t> Entry</a:t>
          </a:r>
          <a:endParaRPr lang="en-IN" sz="1400" b="0">
            <a:solidFill>
              <a:schemeClr val="bg2">
                <a:lumMod val="75000"/>
              </a:schemeClr>
            </a:solidFill>
          </a:endParaRPr>
        </a:p>
      </xdr:txBody>
    </xdr:sp>
    <xdr:clientData/>
  </xdr:twoCellAnchor>
  <xdr:twoCellAnchor editAs="absolute">
    <xdr:from>
      <xdr:col>1</xdr:col>
      <xdr:colOff>312420</xdr:colOff>
      <xdr:row>16</xdr:row>
      <xdr:rowOff>106680</xdr:rowOff>
    </xdr:from>
    <xdr:to>
      <xdr:col>1</xdr:col>
      <xdr:colOff>1303020</xdr:colOff>
      <xdr:row>17</xdr:row>
      <xdr:rowOff>182880</xdr:rowOff>
    </xdr:to>
    <xdr:sp macro="" textlink="">
      <xdr:nvSpPr>
        <xdr:cNvPr id="9" name="Rectangle 8">
          <a:hlinkClick xmlns:r="http://schemas.openxmlformats.org/officeDocument/2006/relationships" r:id="rId8"/>
          <a:extLst>
            <a:ext uri="{FF2B5EF4-FFF2-40B4-BE49-F238E27FC236}">
              <a16:creationId xmlns:a16="http://schemas.microsoft.com/office/drawing/2014/main" id="{557D635E-559A-4672-84E5-15F71E8EBD01}"/>
            </a:ext>
          </a:extLst>
        </xdr:cNvPr>
        <xdr:cNvSpPr/>
      </xdr:nvSpPr>
      <xdr:spPr>
        <a:xfrm>
          <a:off x="731520" y="394716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bg2">
                  <a:lumMod val="75000"/>
                </a:schemeClr>
              </a:solidFill>
            </a:rPr>
            <a:t>Purchase</a:t>
          </a:r>
        </a:p>
      </xdr:txBody>
    </xdr:sp>
    <xdr:clientData/>
  </xdr:twoCellAnchor>
  <xdr:twoCellAnchor editAs="absolute">
    <xdr:from>
      <xdr:col>1</xdr:col>
      <xdr:colOff>312420</xdr:colOff>
      <xdr:row>17</xdr:row>
      <xdr:rowOff>190500</xdr:rowOff>
    </xdr:from>
    <xdr:to>
      <xdr:col>1</xdr:col>
      <xdr:colOff>1303020</xdr:colOff>
      <xdr:row>18</xdr:row>
      <xdr:rowOff>266700</xdr:rowOff>
    </xdr:to>
    <xdr:sp macro="" textlink="">
      <xdr:nvSpPr>
        <xdr:cNvPr id="10" name="Rectangle 9">
          <a:hlinkClick xmlns:r="http://schemas.openxmlformats.org/officeDocument/2006/relationships" r:id="rId9"/>
          <a:extLst>
            <a:ext uri="{FF2B5EF4-FFF2-40B4-BE49-F238E27FC236}">
              <a16:creationId xmlns:a16="http://schemas.microsoft.com/office/drawing/2014/main" id="{A1614CCB-66B2-48B3-A07B-36D7A224DA48}"/>
            </a:ext>
          </a:extLst>
        </xdr:cNvPr>
        <xdr:cNvSpPr/>
      </xdr:nvSpPr>
      <xdr:spPr>
        <a:xfrm>
          <a:off x="731520" y="432816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bg2">
                  <a:lumMod val="75000"/>
                </a:schemeClr>
              </a:solidFill>
            </a:rPr>
            <a:t>Sales</a:t>
          </a:r>
        </a:p>
      </xdr:txBody>
    </xdr:sp>
    <xdr:clientData/>
  </xdr:twoCellAnchor>
  <xdr:twoCellAnchor editAs="absolute">
    <xdr:from>
      <xdr:col>1</xdr:col>
      <xdr:colOff>342900</xdr:colOff>
      <xdr:row>18</xdr:row>
      <xdr:rowOff>236220</xdr:rowOff>
    </xdr:from>
    <xdr:to>
      <xdr:col>1</xdr:col>
      <xdr:colOff>1333500</xdr:colOff>
      <xdr:row>20</xdr:row>
      <xdr:rowOff>15240</xdr:rowOff>
    </xdr:to>
    <xdr:sp macro="" textlink="">
      <xdr:nvSpPr>
        <xdr:cNvPr id="11" name="Rectangle 10">
          <a:hlinkClick xmlns:r="http://schemas.openxmlformats.org/officeDocument/2006/relationships" r:id="rId10"/>
          <a:extLst>
            <a:ext uri="{FF2B5EF4-FFF2-40B4-BE49-F238E27FC236}">
              <a16:creationId xmlns:a16="http://schemas.microsoft.com/office/drawing/2014/main" id="{681AD74E-E328-4668-BD8C-5DEBB9E292AB}"/>
            </a:ext>
          </a:extLst>
        </xdr:cNvPr>
        <xdr:cNvSpPr/>
      </xdr:nvSpPr>
      <xdr:spPr>
        <a:xfrm>
          <a:off x="762000" y="467106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bg2">
                  <a:lumMod val="75000"/>
                </a:schemeClr>
              </a:solidFill>
            </a:rPr>
            <a:t>Inventory</a:t>
          </a:r>
        </a:p>
      </xdr:txBody>
    </xdr:sp>
    <xdr:clientData/>
  </xdr:twoCellAnchor>
  <xdr:twoCellAnchor editAs="absolute">
    <xdr:from>
      <xdr:col>1</xdr:col>
      <xdr:colOff>109920</xdr:colOff>
      <xdr:row>18</xdr:row>
      <xdr:rowOff>281940</xdr:rowOff>
    </xdr:from>
    <xdr:to>
      <xdr:col>1</xdr:col>
      <xdr:colOff>361920</xdr:colOff>
      <xdr:row>19</xdr:row>
      <xdr:rowOff>236760</xdr:rowOff>
    </xdr:to>
    <xdr:pic>
      <xdr:nvPicPr>
        <xdr:cNvPr id="12" name="Graphic 11" descr="Checklist with solid fill">
          <a:extLst>
            <a:ext uri="{FF2B5EF4-FFF2-40B4-BE49-F238E27FC236}">
              <a16:creationId xmlns:a16="http://schemas.microsoft.com/office/drawing/2014/main" id="{253BE19F-F04F-474C-A339-52C73C62BB8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29020" y="4716780"/>
          <a:ext cx="252000" cy="252000"/>
        </a:xfrm>
        <a:prstGeom prst="rect">
          <a:avLst/>
        </a:prstGeom>
      </xdr:spPr>
    </xdr:pic>
    <xdr:clientData/>
  </xdr:twoCellAnchor>
  <xdr:twoCellAnchor editAs="absolute">
    <xdr:from>
      <xdr:col>1</xdr:col>
      <xdr:colOff>102300</xdr:colOff>
      <xdr:row>16</xdr:row>
      <xdr:rowOff>84100</xdr:rowOff>
    </xdr:from>
    <xdr:to>
      <xdr:col>1</xdr:col>
      <xdr:colOff>354300</xdr:colOff>
      <xdr:row>17</xdr:row>
      <xdr:rowOff>38920</xdr:rowOff>
    </xdr:to>
    <xdr:pic>
      <xdr:nvPicPr>
        <xdr:cNvPr id="13" name="Graphic 12" descr="Clipboard with solid fill">
          <a:extLst>
            <a:ext uri="{FF2B5EF4-FFF2-40B4-BE49-F238E27FC236}">
              <a16:creationId xmlns:a16="http://schemas.microsoft.com/office/drawing/2014/main" id="{23D12E76-0992-4621-B7E2-1E4025AE9B0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21400" y="3924580"/>
          <a:ext cx="252000" cy="252000"/>
        </a:xfrm>
        <a:prstGeom prst="rect">
          <a:avLst/>
        </a:prstGeom>
      </xdr:spPr>
    </xdr:pic>
    <xdr:clientData/>
  </xdr:twoCellAnchor>
  <xdr:twoCellAnchor editAs="absolute">
    <xdr:from>
      <xdr:col>1</xdr:col>
      <xdr:colOff>94680</xdr:colOff>
      <xdr:row>14</xdr:row>
      <xdr:rowOff>270930</xdr:rowOff>
    </xdr:from>
    <xdr:to>
      <xdr:col>1</xdr:col>
      <xdr:colOff>346680</xdr:colOff>
      <xdr:row>15</xdr:row>
      <xdr:rowOff>225750</xdr:rowOff>
    </xdr:to>
    <xdr:pic>
      <xdr:nvPicPr>
        <xdr:cNvPr id="14" name="Graphic 13" descr="Connections with solid fill">
          <a:extLst>
            <a:ext uri="{FF2B5EF4-FFF2-40B4-BE49-F238E27FC236}">
              <a16:creationId xmlns:a16="http://schemas.microsoft.com/office/drawing/2014/main" id="{359B2523-F539-43DC-AA19-BF9CECDC101A}"/>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513780" y="3517050"/>
          <a:ext cx="252000" cy="252000"/>
        </a:xfrm>
        <a:prstGeom prst="rect">
          <a:avLst/>
        </a:prstGeom>
      </xdr:spPr>
    </xdr:pic>
    <xdr:clientData/>
  </xdr:twoCellAnchor>
  <xdr:twoCellAnchor editAs="absolute">
    <xdr:from>
      <xdr:col>1</xdr:col>
      <xdr:colOff>94680</xdr:colOff>
      <xdr:row>12</xdr:row>
      <xdr:rowOff>107240</xdr:rowOff>
    </xdr:from>
    <xdr:to>
      <xdr:col>1</xdr:col>
      <xdr:colOff>346680</xdr:colOff>
      <xdr:row>13</xdr:row>
      <xdr:rowOff>62060</xdr:rowOff>
    </xdr:to>
    <xdr:pic>
      <xdr:nvPicPr>
        <xdr:cNvPr id="15" name="Graphic 14" descr="Group of people with solid fill">
          <a:extLst>
            <a:ext uri="{FF2B5EF4-FFF2-40B4-BE49-F238E27FC236}">
              <a16:creationId xmlns:a16="http://schemas.microsoft.com/office/drawing/2014/main" id="{451C8B0D-DDCF-44BB-97D6-934263408CFA}"/>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513780" y="2759000"/>
          <a:ext cx="252000" cy="252000"/>
        </a:xfrm>
        <a:prstGeom prst="rect">
          <a:avLst/>
        </a:prstGeom>
      </xdr:spPr>
    </xdr:pic>
    <xdr:clientData/>
  </xdr:twoCellAnchor>
  <xdr:twoCellAnchor editAs="absolute">
    <xdr:from>
      <xdr:col>1</xdr:col>
      <xdr:colOff>79440</xdr:colOff>
      <xdr:row>13</xdr:row>
      <xdr:rowOff>186120</xdr:rowOff>
    </xdr:from>
    <xdr:to>
      <xdr:col>1</xdr:col>
      <xdr:colOff>373380</xdr:colOff>
      <xdr:row>14</xdr:row>
      <xdr:rowOff>182880</xdr:rowOff>
    </xdr:to>
    <xdr:pic>
      <xdr:nvPicPr>
        <xdr:cNvPr id="16" name="Graphic 15" descr="Male profile with solid fill">
          <a:extLst>
            <a:ext uri="{FF2B5EF4-FFF2-40B4-BE49-F238E27FC236}">
              <a16:creationId xmlns:a16="http://schemas.microsoft.com/office/drawing/2014/main" id="{40E25067-6723-4E2C-87EA-7E63721EF579}"/>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498540" y="3135060"/>
          <a:ext cx="293940" cy="293940"/>
        </a:xfrm>
        <a:prstGeom prst="rect">
          <a:avLst/>
        </a:prstGeom>
      </xdr:spPr>
    </xdr:pic>
    <xdr:clientData/>
  </xdr:twoCellAnchor>
  <xdr:twoCellAnchor editAs="absolute">
    <xdr:from>
      <xdr:col>1</xdr:col>
      <xdr:colOff>71820</xdr:colOff>
      <xdr:row>9</xdr:row>
      <xdr:rowOff>198960</xdr:rowOff>
    </xdr:from>
    <xdr:to>
      <xdr:col>1</xdr:col>
      <xdr:colOff>323820</xdr:colOff>
      <xdr:row>10</xdr:row>
      <xdr:rowOff>153780</xdr:rowOff>
    </xdr:to>
    <xdr:pic>
      <xdr:nvPicPr>
        <xdr:cNvPr id="17" name="Graphic 16" descr="Presentation with bar chart with solid fill">
          <a:extLst>
            <a:ext uri="{FF2B5EF4-FFF2-40B4-BE49-F238E27FC236}">
              <a16:creationId xmlns:a16="http://schemas.microsoft.com/office/drawing/2014/main" id="{23DB72F0-3652-4FA7-B77A-D602D662D11D}"/>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490920" y="1959180"/>
          <a:ext cx="252000" cy="252000"/>
        </a:xfrm>
        <a:prstGeom prst="rect">
          <a:avLst/>
        </a:prstGeom>
      </xdr:spPr>
    </xdr:pic>
    <xdr:clientData/>
  </xdr:twoCellAnchor>
  <xdr:twoCellAnchor editAs="absolute">
    <xdr:from>
      <xdr:col>1</xdr:col>
      <xdr:colOff>87060</xdr:colOff>
      <xdr:row>10</xdr:row>
      <xdr:rowOff>286450</xdr:rowOff>
    </xdr:from>
    <xdr:to>
      <xdr:col>1</xdr:col>
      <xdr:colOff>339060</xdr:colOff>
      <xdr:row>11</xdr:row>
      <xdr:rowOff>241270</xdr:rowOff>
    </xdr:to>
    <xdr:pic>
      <xdr:nvPicPr>
        <xdr:cNvPr id="18" name="Graphic 17" descr="User with solid fill">
          <a:extLst>
            <a:ext uri="{FF2B5EF4-FFF2-40B4-BE49-F238E27FC236}">
              <a16:creationId xmlns:a16="http://schemas.microsoft.com/office/drawing/2014/main" id="{614C086C-A1D8-4F0C-8069-FFC23ECD03F8}"/>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506160" y="2343850"/>
          <a:ext cx="252000" cy="252000"/>
        </a:xfrm>
        <a:prstGeom prst="rect">
          <a:avLst/>
        </a:prstGeom>
      </xdr:spPr>
    </xdr:pic>
    <xdr:clientData/>
  </xdr:twoCellAnchor>
  <xdr:twoCellAnchor editAs="absolute">
    <xdr:from>
      <xdr:col>1</xdr:col>
      <xdr:colOff>109920</xdr:colOff>
      <xdr:row>17</xdr:row>
      <xdr:rowOff>194450</xdr:rowOff>
    </xdr:from>
    <xdr:to>
      <xdr:col>1</xdr:col>
      <xdr:colOff>361920</xdr:colOff>
      <xdr:row>18</xdr:row>
      <xdr:rowOff>149270</xdr:rowOff>
    </xdr:to>
    <xdr:pic>
      <xdr:nvPicPr>
        <xdr:cNvPr id="19" name="Graphic 18" descr="Mathematics with solid fill">
          <a:extLst>
            <a:ext uri="{FF2B5EF4-FFF2-40B4-BE49-F238E27FC236}">
              <a16:creationId xmlns:a16="http://schemas.microsoft.com/office/drawing/2014/main" id="{27CEEEC2-19A9-4830-BDD1-199834218D34}"/>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529020" y="4332110"/>
          <a:ext cx="252000" cy="252000"/>
        </a:xfrm>
        <a:prstGeom prst="rect">
          <a:avLst/>
        </a:prstGeom>
      </xdr:spPr>
    </xdr:pic>
    <xdr:clientData/>
  </xdr:twoCellAnchor>
  <xdr:twoCellAnchor editAs="absolute">
    <xdr:from>
      <xdr:col>3</xdr:col>
      <xdr:colOff>0</xdr:colOff>
      <xdr:row>0</xdr:row>
      <xdr:rowOff>175260</xdr:rowOff>
    </xdr:from>
    <xdr:to>
      <xdr:col>11</xdr:col>
      <xdr:colOff>403860</xdr:colOff>
      <xdr:row>4</xdr:row>
      <xdr:rowOff>137160</xdr:rowOff>
    </xdr:to>
    <xdr:sp macro="" textlink="">
      <xdr:nvSpPr>
        <xdr:cNvPr id="20" name="Rectangle 19">
          <a:extLst>
            <a:ext uri="{FF2B5EF4-FFF2-40B4-BE49-F238E27FC236}">
              <a16:creationId xmlns:a16="http://schemas.microsoft.com/office/drawing/2014/main" id="{07B23ED2-4BD4-4E3B-AABE-BA681C954BD9}"/>
            </a:ext>
          </a:extLst>
        </xdr:cNvPr>
        <xdr:cNvSpPr/>
      </xdr:nvSpPr>
      <xdr:spPr>
        <a:xfrm>
          <a:off x="2491740" y="175260"/>
          <a:ext cx="11521440" cy="693420"/>
        </a:xfrm>
        <a:prstGeom prst="rect">
          <a:avLst/>
        </a:prstGeom>
        <a:solidFill>
          <a:schemeClr val="bg1"/>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3200" b="1"/>
            <a:t>V</a:t>
          </a:r>
          <a:r>
            <a:rPr lang="en-IN" sz="3200" b="1">
              <a:solidFill>
                <a:schemeClr val="tx1"/>
              </a:solidFill>
            </a:rPr>
            <a:t>Vendors</a:t>
          </a:r>
          <a:endParaRPr lang="en-IN" sz="3200" b="1"/>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457200</xdr:colOff>
      <xdr:row>3</xdr:row>
      <xdr:rowOff>114300</xdr:rowOff>
    </xdr:from>
    <xdr:to>
      <xdr:col>1</xdr:col>
      <xdr:colOff>1082040</xdr:colOff>
      <xdr:row>7</xdr:row>
      <xdr:rowOff>7620</xdr:rowOff>
    </xdr:to>
    <xdr:pic>
      <xdr:nvPicPr>
        <xdr:cNvPr id="2" name="Graphic 1" descr="Target Audience with solid fill">
          <a:extLst>
            <a:ext uri="{FF2B5EF4-FFF2-40B4-BE49-F238E27FC236}">
              <a16:creationId xmlns:a16="http://schemas.microsoft.com/office/drawing/2014/main" id="{A1CBFF72-EF45-4D55-8153-82646009D02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76300" y="662940"/>
          <a:ext cx="624840" cy="624840"/>
        </a:xfrm>
        <a:prstGeom prst="rect">
          <a:avLst/>
        </a:prstGeom>
      </xdr:spPr>
    </xdr:pic>
    <xdr:clientData/>
  </xdr:twoCellAnchor>
  <xdr:twoCellAnchor editAs="absolute">
    <xdr:from>
      <xdr:col>1</xdr:col>
      <xdr:colOff>22860</xdr:colOff>
      <xdr:row>6</xdr:row>
      <xdr:rowOff>129540</xdr:rowOff>
    </xdr:from>
    <xdr:to>
      <xdr:col>1</xdr:col>
      <xdr:colOff>1562100</xdr:colOff>
      <xdr:row>8</xdr:row>
      <xdr:rowOff>243840</xdr:rowOff>
    </xdr:to>
    <xdr:sp macro="" textlink="">
      <xdr:nvSpPr>
        <xdr:cNvPr id="3" name="Rectangle 2">
          <a:extLst>
            <a:ext uri="{FF2B5EF4-FFF2-40B4-BE49-F238E27FC236}">
              <a16:creationId xmlns:a16="http://schemas.microsoft.com/office/drawing/2014/main" id="{E1584BDD-294B-469C-BEF6-95C86C09DFC1}"/>
            </a:ext>
          </a:extLst>
        </xdr:cNvPr>
        <xdr:cNvSpPr/>
      </xdr:nvSpPr>
      <xdr:spPr>
        <a:xfrm>
          <a:off x="441960" y="1226820"/>
          <a:ext cx="1539240" cy="5943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Inventory Management System</a:t>
          </a:r>
        </a:p>
      </xdr:txBody>
    </xdr:sp>
    <xdr:clientData/>
  </xdr:twoCellAnchor>
  <xdr:twoCellAnchor editAs="absolute">
    <xdr:from>
      <xdr:col>1</xdr:col>
      <xdr:colOff>312420</xdr:colOff>
      <xdr:row>9</xdr:row>
      <xdr:rowOff>45720</xdr:rowOff>
    </xdr:from>
    <xdr:to>
      <xdr:col>1</xdr:col>
      <xdr:colOff>1303020</xdr:colOff>
      <xdr:row>10</xdr:row>
      <xdr:rowOff>121920</xdr:rowOff>
    </xdr:to>
    <xdr:sp macro="" textlink="">
      <xdr:nvSpPr>
        <xdr:cNvPr id="4" name="Rectangle 3">
          <a:hlinkClick xmlns:r="http://schemas.openxmlformats.org/officeDocument/2006/relationships" r:id="rId3"/>
          <a:extLst>
            <a:ext uri="{FF2B5EF4-FFF2-40B4-BE49-F238E27FC236}">
              <a16:creationId xmlns:a16="http://schemas.microsoft.com/office/drawing/2014/main" id="{306EA906-9467-47AF-9D13-8BBE2819D77E}"/>
            </a:ext>
          </a:extLst>
        </xdr:cNvPr>
        <xdr:cNvSpPr/>
      </xdr:nvSpPr>
      <xdr:spPr>
        <a:xfrm>
          <a:off x="731520" y="192024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bg2">
                  <a:lumMod val="75000"/>
                </a:schemeClr>
              </a:solidFill>
            </a:rPr>
            <a:t>Dashboard</a:t>
          </a:r>
        </a:p>
      </xdr:txBody>
    </xdr:sp>
    <xdr:clientData/>
  </xdr:twoCellAnchor>
  <xdr:twoCellAnchor editAs="absolute">
    <xdr:from>
      <xdr:col>1</xdr:col>
      <xdr:colOff>312420</xdr:colOff>
      <xdr:row>10</xdr:row>
      <xdr:rowOff>167640</xdr:rowOff>
    </xdr:from>
    <xdr:to>
      <xdr:col>1</xdr:col>
      <xdr:colOff>1303020</xdr:colOff>
      <xdr:row>12</xdr:row>
      <xdr:rowOff>60960</xdr:rowOff>
    </xdr:to>
    <xdr:sp macro="" textlink="">
      <xdr:nvSpPr>
        <xdr:cNvPr id="5" name="Rectangle 4">
          <a:hlinkClick xmlns:r="http://schemas.openxmlformats.org/officeDocument/2006/relationships" r:id="rId4"/>
          <a:extLst>
            <a:ext uri="{FF2B5EF4-FFF2-40B4-BE49-F238E27FC236}">
              <a16:creationId xmlns:a16="http://schemas.microsoft.com/office/drawing/2014/main" id="{1435C92A-BAAF-4454-88CA-832A7CDEA108}"/>
            </a:ext>
          </a:extLst>
        </xdr:cNvPr>
        <xdr:cNvSpPr/>
      </xdr:nvSpPr>
      <xdr:spPr>
        <a:xfrm>
          <a:off x="731520" y="233934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bg2">
                  <a:lumMod val="75000"/>
                </a:schemeClr>
              </a:solidFill>
            </a:rPr>
            <a:t>Customers</a:t>
          </a:r>
        </a:p>
      </xdr:txBody>
    </xdr:sp>
    <xdr:clientData/>
  </xdr:twoCellAnchor>
  <xdr:twoCellAnchor editAs="absolute">
    <xdr:from>
      <xdr:col>1</xdr:col>
      <xdr:colOff>312420</xdr:colOff>
      <xdr:row>12</xdr:row>
      <xdr:rowOff>83820</xdr:rowOff>
    </xdr:from>
    <xdr:to>
      <xdr:col>1</xdr:col>
      <xdr:colOff>1303020</xdr:colOff>
      <xdr:row>14</xdr:row>
      <xdr:rowOff>91440</xdr:rowOff>
    </xdr:to>
    <xdr:sp macro="" textlink="">
      <xdr:nvSpPr>
        <xdr:cNvPr id="6" name="Rectangle 5">
          <a:hlinkClick xmlns:r="http://schemas.openxmlformats.org/officeDocument/2006/relationships" r:id="rId5"/>
          <a:extLst>
            <a:ext uri="{FF2B5EF4-FFF2-40B4-BE49-F238E27FC236}">
              <a16:creationId xmlns:a16="http://schemas.microsoft.com/office/drawing/2014/main" id="{B648779D-D1DD-4A63-83E7-8F4CFE3D606F}"/>
            </a:ext>
          </a:extLst>
        </xdr:cNvPr>
        <xdr:cNvSpPr/>
      </xdr:nvSpPr>
      <xdr:spPr>
        <a:xfrm>
          <a:off x="731520" y="273558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bg2">
                  <a:lumMod val="75000"/>
                </a:schemeClr>
              </a:solidFill>
            </a:rPr>
            <a:t>Products</a:t>
          </a:r>
        </a:p>
      </xdr:txBody>
    </xdr:sp>
    <xdr:clientData/>
  </xdr:twoCellAnchor>
  <xdr:twoCellAnchor editAs="absolute">
    <xdr:from>
      <xdr:col>1</xdr:col>
      <xdr:colOff>312420</xdr:colOff>
      <xdr:row>14</xdr:row>
      <xdr:rowOff>121920</xdr:rowOff>
    </xdr:from>
    <xdr:to>
      <xdr:col>1</xdr:col>
      <xdr:colOff>1303020</xdr:colOff>
      <xdr:row>16</xdr:row>
      <xdr:rowOff>129540</xdr:rowOff>
    </xdr:to>
    <xdr:sp macro="" textlink="">
      <xdr:nvSpPr>
        <xdr:cNvPr id="7" name="Rectangle 6">
          <a:hlinkClick xmlns:r="http://schemas.openxmlformats.org/officeDocument/2006/relationships" r:id="rId6"/>
          <a:extLst>
            <a:ext uri="{FF2B5EF4-FFF2-40B4-BE49-F238E27FC236}">
              <a16:creationId xmlns:a16="http://schemas.microsoft.com/office/drawing/2014/main" id="{E6030F40-1E7C-4AD7-B00C-F8011FA86367}"/>
            </a:ext>
          </a:extLst>
        </xdr:cNvPr>
        <xdr:cNvSpPr/>
      </xdr:nvSpPr>
      <xdr:spPr>
        <a:xfrm>
          <a:off x="731520" y="313944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bg2">
                  <a:lumMod val="75000"/>
                </a:schemeClr>
              </a:solidFill>
            </a:rPr>
            <a:t>Vendors</a:t>
          </a:r>
        </a:p>
      </xdr:txBody>
    </xdr:sp>
    <xdr:clientData/>
  </xdr:twoCellAnchor>
  <xdr:twoCellAnchor editAs="absolute">
    <xdr:from>
      <xdr:col>1</xdr:col>
      <xdr:colOff>312420</xdr:colOff>
      <xdr:row>16</xdr:row>
      <xdr:rowOff>129540</xdr:rowOff>
    </xdr:from>
    <xdr:to>
      <xdr:col>1</xdr:col>
      <xdr:colOff>1303020</xdr:colOff>
      <xdr:row>18</xdr:row>
      <xdr:rowOff>137160</xdr:rowOff>
    </xdr:to>
    <xdr:sp macro="" textlink="">
      <xdr:nvSpPr>
        <xdr:cNvPr id="8" name="Rectangle 7">
          <a:hlinkClick xmlns:r="http://schemas.openxmlformats.org/officeDocument/2006/relationships" r:id="rId7"/>
          <a:extLst>
            <a:ext uri="{FF2B5EF4-FFF2-40B4-BE49-F238E27FC236}">
              <a16:creationId xmlns:a16="http://schemas.microsoft.com/office/drawing/2014/main" id="{2CEC9131-FF14-417F-9C67-423459CC72F8}"/>
            </a:ext>
          </a:extLst>
        </xdr:cNvPr>
        <xdr:cNvSpPr/>
      </xdr:nvSpPr>
      <xdr:spPr>
        <a:xfrm>
          <a:off x="731520" y="351282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New</a:t>
          </a:r>
          <a:r>
            <a:rPr lang="en-IN" sz="1400" b="0" baseline="0">
              <a:solidFill>
                <a:schemeClr val="bg2">
                  <a:lumMod val="75000"/>
                </a:schemeClr>
              </a:solidFill>
            </a:rPr>
            <a:t> </a:t>
          </a:r>
          <a:r>
            <a:rPr lang="en-IN" sz="1400" b="1" baseline="0">
              <a:solidFill>
                <a:schemeClr val="tx1"/>
              </a:solidFill>
            </a:rPr>
            <a:t>Entry</a:t>
          </a:r>
          <a:endParaRPr lang="en-IN" sz="1400" b="1">
            <a:solidFill>
              <a:schemeClr val="tx1"/>
            </a:solidFill>
          </a:endParaRPr>
        </a:p>
      </xdr:txBody>
    </xdr:sp>
    <xdr:clientData/>
  </xdr:twoCellAnchor>
  <xdr:twoCellAnchor editAs="absolute">
    <xdr:from>
      <xdr:col>1</xdr:col>
      <xdr:colOff>312420</xdr:colOff>
      <xdr:row>19</xdr:row>
      <xdr:rowOff>15240</xdr:rowOff>
    </xdr:from>
    <xdr:to>
      <xdr:col>1</xdr:col>
      <xdr:colOff>1303020</xdr:colOff>
      <xdr:row>21</xdr:row>
      <xdr:rowOff>22860</xdr:rowOff>
    </xdr:to>
    <xdr:sp macro="" textlink="">
      <xdr:nvSpPr>
        <xdr:cNvPr id="9" name="Rectangle 8">
          <a:hlinkClick xmlns:r="http://schemas.openxmlformats.org/officeDocument/2006/relationships" r:id="rId8"/>
          <a:extLst>
            <a:ext uri="{FF2B5EF4-FFF2-40B4-BE49-F238E27FC236}">
              <a16:creationId xmlns:a16="http://schemas.microsoft.com/office/drawing/2014/main" id="{877B7572-E5D1-4C77-B636-E7672FB4E33B}"/>
            </a:ext>
          </a:extLst>
        </xdr:cNvPr>
        <xdr:cNvSpPr/>
      </xdr:nvSpPr>
      <xdr:spPr>
        <a:xfrm>
          <a:off x="731520" y="394716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bg2">
                  <a:lumMod val="75000"/>
                </a:schemeClr>
              </a:solidFill>
            </a:rPr>
            <a:t>Purchase</a:t>
          </a:r>
        </a:p>
      </xdr:txBody>
    </xdr:sp>
    <xdr:clientData/>
  </xdr:twoCellAnchor>
  <xdr:twoCellAnchor editAs="absolute">
    <xdr:from>
      <xdr:col>1</xdr:col>
      <xdr:colOff>312420</xdr:colOff>
      <xdr:row>21</xdr:row>
      <xdr:rowOff>30480</xdr:rowOff>
    </xdr:from>
    <xdr:to>
      <xdr:col>1</xdr:col>
      <xdr:colOff>1303020</xdr:colOff>
      <xdr:row>23</xdr:row>
      <xdr:rowOff>38100</xdr:rowOff>
    </xdr:to>
    <xdr:sp macro="" textlink="">
      <xdr:nvSpPr>
        <xdr:cNvPr id="10" name="Rectangle 9">
          <a:hlinkClick xmlns:r="http://schemas.openxmlformats.org/officeDocument/2006/relationships" r:id="rId9"/>
          <a:extLst>
            <a:ext uri="{FF2B5EF4-FFF2-40B4-BE49-F238E27FC236}">
              <a16:creationId xmlns:a16="http://schemas.microsoft.com/office/drawing/2014/main" id="{740833D2-3500-4370-AB73-2CEDCBDDD7E0}"/>
            </a:ext>
          </a:extLst>
        </xdr:cNvPr>
        <xdr:cNvSpPr/>
      </xdr:nvSpPr>
      <xdr:spPr>
        <a:xfrm>
          <a:off x="731520" y="432816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bg2">
                  <a:lumMod val="75000"/>
                </a:schemeClr>
              </a:solidFill>
            </a:rPr>
            <a:t>Sales</a:t>
          </a:r>
        </a:p>
      </xdr:txBody>
    </xdr:sp>
    <xdr:clientData/>
  </xdr:twoCellAnchor>
  <xdr:twoCellAnchor editAs="absolute">
    <xdr:from>
      <xdr:col>1</xdr:col>
      <xdr:colOff>342900</xdr:colOff>
      <xdr:row>23</xdr:row>
      <xdr:rowOff>7620</xdr:rowOff>
    </xdr:from>
    <xdr:to>
      <xdr:col>1</xdr:col>
      <xdr:colOff>1333500</xdr:colOff>
      <xdr:row>25</xdr:row>
      <xdr:rowOff>15240</xdr:rowOff>
    </xdr:to>
    <xdr:sp macro="" textlink="">
      <xdr:nvSpPr>
        <xdr:cNvPr id="11" name="Rectangle 10">
          <a:hlinkClick xmlns:r="http://schemas.openxmlformats.org/officeDocument/2006/relationships" r:id="rId10"/>
          <a:extLst>
            <a:ext uri="{FF2B5EF4-FFF2-40B4-BE49-F238E27FC236}">
              <a16:creationId xmlns:a16="http://schemas.microsoft.com/office/drawing/2014/main" id="{E62589FA-32E6-4E80-9929-C66D09CCC9D2}"/>
            </a:ext>
          </a:extLst>
        </xdr:cNvPr>
        <xdr:cNvSpPr/>
      </xdr:nvSpPr>
      <xdr:spPr>
        <a:xfrm>
          <a:off x="762000" y="467106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bg2">
                  <a:lumMod val="75000"/>
                </a:schemeClr>
              </a:solidFill>
            </a:rPr>
            <a:t>Inventory</a:t>
          </a:r>
        </a:p>
      </xdr:txBody>
    </xdr:sp>
    <xdr:clientData/>
  </xdr:twoCellAnchor>
  <xdr:twoCellAnchor editAs="absolute">
    <xdr:from>
      <xdr:col>1</xdr:col>
      <xdr:colOff>109920</xdr:colOff>
      <xdr:row>23</xdr:row>
      <xdr:rowOff>53340</xdr:rowOff>
    </xdr:from>
    <xdr:to>
      <xdr:col>1</xdr:col>
      <xdr:colOff>361920</xdr:colOff>
      <xdr:row>24</xdr:row>
      <xdr:rowOff>122460</xdr:rowOff>
    </xdr:to>
    <xdr:pic>
      <xdr:nvPicPr>
        <xdr:cNvPr id="12" name="Graphic 11" descr="Checklist with solid fill">
          <a:extLst>
            <a:ext uri="{FF2B5EF4-FFF2-40B4-BE49-F238E27FC236}">
              <a16:creationId xmlns:a16="http://schemas.microsoft.com/office/drawing/2014/main" id="{1327C49A-0DCE-4CA9-B99F-34AD0CCB34B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29020" y="4716780"/>
          <a:ext cx="252000" cy="252000"/>
        </a:xfrm>
        <a:prstGeom prst="rect">
          <a:avLst/>
        </a:prstGeom>
      </xdr:spPr>
    </xdr:pic>
    <xdr:clientData/>
  </xdr:twoCellAnchor>
  <xdr:twoCellAnchor editAs="absolute">
    <xdr:from>
      <xdr:col>1</xdr:col>
      <xdr:colOff>102300</xdr:colOff>
      <xdr:row>18</xdr:row>
      <xdr:rowOff>175540</xdr:rowOff>
    </xdr:from>
    <xdr:to>
      <xdr:col>1</xdr:col>
      <xdr:colOff>354300</xdr:colOff>
      <xdr:row>20</xdr:row>
      <xdr:rowOff>61780</xdr:rowOff>
    </xdr:to>
    <xdr:pic>
      <xdr:nvPicPr>
        <xdr:cNvPr id="13" name="Graphic 12" descr="Clipboard with solid fill">
          <a:extLst>
            <a:ext uri="{FF2B5EF4-FFF2-40B4-BE49-F238E27FC236}">
              <a16:creationId xmlns:a16="http://schemas.microsoft.com/office/drawing/2014/main" id="{8D8238EB-0A9A-4999-8E6A-07E7CA6A5DD4}"/>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21400" y="3924580"/>
          <a:ext cx="252000" cy="252000"/>
        </a:xfrm>
        <a:prstGeom prst="rect">
          <a:avLst/>
        </a:prstGeom>
      </xdr:spPr>
    </xdr:pic>
    <xdr:clientData/>
  </xdr:twoCellAnchor>
  <xdr:twoCellAnchor editAs="absolute">
    <xdr:from>
      <xdr:col>1</xdr:col>
      <xdr:colOff>94680</xdr:colOff>
      <xdr:row>16</xdr:row>
      <xdr:rowOff>133770</xdr:rowOff>
    </xdr:from>
    <xdr:to>
      <xdr:col>1</xdr:col>
      <xdr:colOff>346680</xdr:colOff>
      <xdr:row>18</xdr:row>
      <xdr:rowOff>20010</xdr:rowOff>
    </xdr:to>
    <xdr:pic>
      <xdr:nvPicPr>
        <xdr:cNvPr id="14" name="Graphic 13" descr="Connections with solid fill">
          <a:extLst>
            <a:ext uri="{FF2B5EF4-FFF2-40B4-BE49-F238E27FC236}">
              <a16:creationId xmlns:a16="http://schemas.microsoft.com/office/drawing/2014/main" id="{85271199-476F-4B46-B43A-727CC9F0E41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513780" y="3517050"/>
          <a:ext cx="252000" cy="252000"/>
        </a:xfrm>
        <a:prstGeom prst="rect">
          <a:avLst/>
        </a:prstGeom>
      </xdr:spPr>
    </xdr:pic>
    <xdr:clientData/>
  </xdr:twoCellAnchor>
  <xdr:twoCellAnchor editAs="absolute">
    <xdr:from>
      <xdr:col>1</xdr:col>
      <xdr:colOff>94680</xdr:colOff>
      <xdr:row>12</xdr:row>
      <xdr:rowOff>107240</xdr:rowOff>
    </xdr:from>
    <xdr:to>
      <xdr:col>1</xdr:col>
      <xdr:colOff>346680</xdr:colOff>
      <xdr:row>13</xdr:row>
      <xdr:rowOff>176360</xdr:rowOff>
    </xdr:to>
    <xdr:pic>
      <xdr:nvPicPr>
        <xdr:cNvPr id="15" name="Graphic 14" descr="Group of people with solid fill">
          <a:extLst>
            <a:ext uri="{FF2B5EF4-FFF2-40B4-BE49-F238E27FC236}">
              <a16:creationId xmlns:a16="http://schemas.microsoft.com/office/drawing/2014/main" id="{AF6B20EF-C588-424B-BEB8-B7C8F6223F92}"/>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513780" y="2759000"/>
          <a:ext cx="252000" cy="252000"/>
        </a:xfrm>
        <a:prstGeom prst="rect">
          <a:avLst/>
        </a:prstGeom>
      </xdr:spPr>
    </xdr:pic>
    <xdr:clientData/>
  </xdr:twoCellAnchor>
  <xdr:twoCellAnchor editAs="absolute">
    <xdr:from>
      <xdr:col>1</xdr:col>
      <xdr:colOff>79440</xdr:colOff>
      <xdr:row>14</xdr:row>
      <xdr:rowOff>117540</xdr:rowOff>
    </xdr:from>
    <xdr:to>
      <xdr:col>1</xdr:col>
      <xdr:colOff>373380</xdr:colOff>
      <xdr:row>16</xdr:row>
      <xdr:rowOff>45720</xdr:rowOff>
    </xdr:to>
    <xdr:pic>
      <xdr:nvPicPr>
        <xdr:cNvPr id="16" name="Graphic 15" descr="Male profile with solid fill">
          <a:extLst>
            <a:ext uri="{FF2B5EF4-FFF2-40B4-BE49-F238E27FC236}">
              <a16:creationId xmlns:a16="http://schemas.microsoft.com/office/drawing/2014/main" id="{6035713F-58BC-47E7-B235-D62625992BF1}"/>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498540" y="3135060"/>
          <a:ext cx="293940" cy="293940"/>
        </a:xfrm>
        <a:prstGeom prst="rect">
          <a:avLst/>
        </a:prstGeom>
      </xdr:spPr>
    </xdr:pic>
    <xdr:clientData/>
  </xdr:twoCellAnchor>
  <xdr:twoCellAnchor editAs="absolute">
    <xdr:from>
      <xdr:col>1</xdr:col>
      <xdr:colOff>71820</xdr:colOff>
      <xdr:row>9</xdr:row>
      <xdr:rowOff>84660</xdr:rowOff>
    </xdr:from>
    <xdr:to>
      <xdr:col>1</xdr:col>
      <xdr:colOff>323820</xdr:colOff>
      <xdr:row>10</xdr:row>
      <xdr:rowOff>39480</xdr:rowOff>
    </xdr:to>
    <xdr:pic>
      <xdr:nvPicPr>
        <xdr:cNvPr id="17" name="Graphic 16" descr="Presentation with bar chart with solid fill">
          <a:extLst>
            <a:ext uri="{FF2B5EF4-FFF2-40B4-BE49-F238E27FC236}">
              <a16:creationId xmlns:a16="http://schemas.microsoft.com/office/drawing/2014/main" id="{EB60D8C5-5DB9-4209-9164-129916EA4338}"/>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490920" y="1959180"/>
          <a:ext cx="252000" cy="252000"/>
        </a:xfrm>
        <a:prstGeom prst="rect">
          <a:avLst/>
        </a:prstGeom>
      </xdr:spPr>
    </xdr:pic>
    <xdr:clientData/>
  </xdr:twoCellAnchor>
  <xdr:twoCellAnchor editAs="absolute">
    <xdr:from>
      <xdr:col>1</xdr:col>
      <xdr:colOff>87060</xdr:colOff>
      <xdr:row>10</xdr:row>
      <xdr:rowOff>172150</xdr:rowOff>
    </xdr:from>
    <xdr:to>
      <xdr:col>1</xdr:col>
      <xdr:colOff>339060</xdr:colOff>
      <xdr:row>11</xdr:row>
      <xdr:rowOff>126970</xdr:rowOff>
    </xdr:to>
    <xdr:pic>
      <xdr:nvPicPr>
        <xdr:cNvPr id="18" name="Graphic 17" descr="User with solid fill">
          <a:extLst>
            <a:ext uri="{FF2B5EF4-FFF2-40B4-BE49-F238E27FC236}">
              <a16:creationId xmlns:a16="http://schemas.microsoft.com/office/drawing/2014/main" id="{E052CEEA-E93D-4924-A082-56D82E81984D}"/>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506160" y="2343850"/>
          <a:ext cx="252000" cy="252000"/>
        </a:xfrm>
        <a:prstGeom prst="rect">
          <a:avLst/>
        </a:prstGeom>
      </xdr:spPr>
    </xdr:pic>
    <xdr:clientData/>
  </xdr:twoCellAnchor>
  <xdr:twoCellAnchor editAs="absolute">
    <xdr:from>
      <xdr:col>1</xdr:col>
      <xdr:colOff>109920</xdr:colOff>
      <xdr:row>21</xdr:row>
      <xdr:rowOff>34430</xdr:rowOff>
    </xdr:from>
    <xdr:to>
      <xdr:col>1</xdr:col>
      <xdr:colOff>361920</xdr:colOff>
      <xdr:row>22</xdr:row>
      <xdr:rowOff>103550</xdr:rowOff>
    </xdr:to>
    <xdr:pic>
      <xdr:nvPicPr>
        <xdr:cNvPr id="19" name="Graphic 18" descr="Mathematics with solid fill">
          <a:extLst>
            <a:ext uri="{FF2B5EF4-FFF2-40B4-BE49-F238E27FC236}">
              <a16:creationId xmlns:a16="http://schemas.microsoft.com/office/drawing/2014/main" id="{EAD049D4-DD8B-4136-9CCC-21D9B1CE6F48}"/>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529020" y="4332110"/>
          <a:ext cx="252000" cy="252000"/>
        </a:xfrm>
        <a:prstGeom prst="rect">
          <a:avLst/>
        </a:prstGeom>
      </xdr:spPr>
    </xdr:pic>
    <xdr:clientData/>
  </xdr:twoCellAnchor>
  <xdr:twoCellAnchor editAs="absolute">
    <xdr:from>
      <xdr:col>3</xdr:col>
      <xdr:colOff>0</xdr:colOff>
      <xdr:row>0</xdr:row>
      <xdr:rowOff>175260</xdr:rowOff>
    </xdr:from>
    <xdr:to>
      <xdr:col>20</xdr:col>
      <xdr:colOff>243840</xdr:colOff>
      <xdr:row>4</xdr:row>
      <xdr:rowOff>137160</xdr:rowOff>
    </xdr:to>
    <xdr:sp macro="" textlink="">
      <xdr:nvSpPr>
        <xdr:cNvPr id="20" name="Rectangle 19">
          <a:extLst>
            <a:ext uri="{FF2B5EF4-FFF2-40B4-BE49-F238E27FC236}">
              <a16:creationId xmlns:a16="http://schemas.microsoft.com/office/drawing/2014/main" id="{DD72209C-A025-466D-A3EC-B23B91198EAF}"/>
            </a:ext>
          </a:extLst>
        </xdr:cNvPr>
        <xdr:cNvSpPr/>
      </xdr:nvSpPr>
      <xdr:spPr>
        <a:xfrm>
          <a:off x="2514600" y="175260"/>
          <a:ext cx="11513820" cy="693420"/>
        </a:xfrm>
        <a:prstGeom prst="rect">
          <a:avLst/>
        </a:prstGeom>
        <a:solidFill>
          <a:schemeClr val="bg1"/>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3200" b="1" baseline="0"/>
            <a:t>  </a:t>
          </a:r>
          <a:r>
            <a:rPr lang="en-IN" sz="3200" b="1" baseline="0">
              <a:solidFill>
                <a:schemeClr val="tx1"/>
              </a:solidFill>
            </a:rPr>
            <a:t>New Entry</a:t>
          </a:r>
          <a:endParaRPr lang="en-IN" sz="3200" b="1"/>
        </a:p>
      </xdr:txBody>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457200</xdr:colOff>
      <xdr:row>3</xdr:row>
      <xdr:rowOff>114300</xdr:rowOff>
    </xdr:from>
    <xdr:to>
      <xdr:col>1</xdr:col>
      <xdr:colOff>1082040</xdr:colOff>
      <xdr:row>7</xdr:row>
      <xdr:rowOff>7620</xdr:rowOff>
    </xdr:to>
    <xdr:pic>
      <xdr:nvPicPr>
        <xdr:cNvPr id="2" name="Graphic 1" descr="Target Audience with solid fill">
          <a:extLst>
            <a:ext uri="{FF2B5EF4-FFF2-40B4-BE49-F238E27FC236}">
              <a16:creationId xmlns:a16="http://schemas.microsoft.com/office/drawing/2014/main" id="{032F8551-4ADA-44FB-AAE7-1004514BD4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76300" y="662940"/>
          <a:ext cx="624840" cy="624840"/>
        </a:xfrm>
        <a:prstGeom prst="rect">
          <a:avLst/>
        </a:prstGeom>
      </xdr:spPr>
    </xdr:pic>
    <xdr:clientData/>
  </xdr:twoCellAnchor>
  <xdr:twoCellAnchor editAs="absolute">
    <xdr:from>
      <xdr:col>1</xdr:col>
      <xdr:colOff>22860</xdr:colOff>
      <xdr:row>6</xdr:row>
      <xdr:rowOff>129540</xdr:rowOff>
    </xdr:from>
    <xdr:to>
      <xdr:col>1</xdr:col>
      <xdr:colOff>1562100</xdr:colOff>
      <xdr:row>9</xdr:row>
      <xdr:rowOff>91440</xdr:rowOff>
    </xdr:to>
    <xdr:sp macro="" textlink="">
      <xdr:nvSpPr>
        <xdr:cNvPr id="3" name="Rectangle 2">
          <a:extLst>
            <a:ext uri="{FF2B5EF4-FFF2-40B4-BE49-F238E27FC236}">
              <a16:creationId xmlns:a16="http://schemas.microsoft.com/office/drawing/2014/main" id="{524B3A85-8ABD-4965-812F-BD632835DE69}"/>
            </a:ext>
          </a:extLst>
        </xdr:cNvPr>
        <xdr:cNvSpPr/>
      </xdr:nvSpPr>
      <xdr:spPr>
        <a:xfrm>
          <a:off x="441960" y="1226820"/>
          <a:ext cx="1539240" cy="5943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Inventory Management System</a:t>
          </a:r>
        </a:p>
      </xdr:txBody>
    </xdr:sp>
    <xdr:clientData/>
  </xdr:twoCellAnchor>
  <xdr:twoCellAnchor editAs="absolute">
    <xdr:from>
      <xdr:col>1</xdr:col>
      <xdr:colOff>312420</xdr:colOff>
      <xdr:row>9</xdr:row>
      <xdr:rowOff>190500</xdr:rowOff>
    </xdr:from>
    <xdr:to>
      <xdr:col>1</xdr:col>
      <xdr:colOff>1303020</xdr:colOff>
      <xdr:row>11</xdr:row>
      <xdr:rowOff>30480</xdr:rowOff>
    </xdr:to>
    <xdr:sp macro="" textlink="">
      <xdr:nvSpPr>
        <xdr:cNvPr id="4" name="Rectangle 3">
          <a:hlinkClick xmlns:r="http://schemas.openxmlformats.org/officeDocument/2006/relationships" r:id="rId3"/>
          <a:extLst>
            <a:ext uri="{FF2B5EF4-FFF2-40B4-BE49-F238E27FC236}">
              <a16:creationId xmlns:a16="http://schemas.microsoft.com/office/drawing/2014/main" id="{C80E5FB0-82CD-4BB7-9F03-A3D5E96C164B}"/>
            </a:ext>
          </a:extLst>
        </xdr:cNvPr>
        <xdr:cNvSpPr/>
      </xdr:nvSpPr>
      <xdr:spPr>
        <a:xfrm>
          <a:off x="731520" y="192024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bg2">
                  <a:lumMod val="75000"/>
                </a:schemeClr>
              </a:solidFill>
            </a:rPr>
            <a:t>Dashboard</a:t>
          </a:r>
        </a:p>
      </xdr:txBody>
    </xdr:sp>
    <xdr:clientData/>
  </xdr:twoCellAnchor>
  <xdr:twoCellAnchor editAs="absolute">
    <xdr:from>
      <xdr:col>1</xdr:col>
      <xdr:colOff>312420</xdr:colOff>
      <xdr:row>11</xdr:row>
      <xdr:rowOff>76200</xdr:rowOff>
    </xdr:from>
    <xdr:to>
      <xdr:col>1</xdr:col>
      <xdr:colOff>1303020</xdr:colOff>
      <xdr:row>12</xdr:row>
      <xdr:rowOff>182880</xdr:rowOff>
    </xdr:to>
    <xdr:sp macro="" textlink="">
      <xdr:nvSpPr>
        <xdr:cNvPr id="5" name="Rectangle 4">
          <a:hlinkClick xmlns:r="http://schemas.openxmlformats.org/officeDocument/2006/relationships" r:id="rId4"/>
          <a:extLst>
            <a:ext uri="{FF2B5EF4-FFF2-40B4-BE49-F238E27FC236}">
              <a16:creationId xmlns:a16="http://schemas.microsoft.com/office/drawing/2014/main" id="{E1F7A051-39ED-412F-8A6E-A1BBB640716E}"/>
            </a:ext>
          </a:extLst>
        </xdr:cNvPr>
        <xdr:cNvSpPr/>
      </xdr:nvSpPr>
      <xdr:spPr>
        <a:xfrm>
          <a:off x="731520" y="233934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bg2">
                  <a:lumMod val="75000"/>
                </a:schemeClr>
              </a:solidFill>
            </a:rPr>
            <a:t>Customers</a:t>
          </a:r>
        </a:p>
      </xdr:txBody>
    </xdr:sp>
    <xdr:clientData/>
  </xdr:twoCellAnchor>
  <xdr:twoCellAnchor editAs="absolute">
    <xdr:from>
      <xdr:col>1</xdr:col>
      <xdr:colOff>312420</xdr:colOff>
      <xdr:row>12</xdr:row>
      <xdr:rowOff>205740</xdr:rowOff>
    </xdr:from>
    <xdr:to>
      <xdr:col>1</xdr:col>
      <xdr:colOff>1303020</xdr:colOff>
      <xdr:row>14</xdr:row>
      <xdr:rowOff>45720</xdr:rowOff>
    </xdr:to>
    <xdr:sp macro="" textlink="">
      <xdr:nvSpPr>
        <xdr:cNvPr id="6" name="Rectangle 5">
          <a:hlinkClick xmlns:r="http://schemas.openxmlformats.org/officeDocument/2006/relationships" r:id="rId5"/>
          <a:extLst>
            <a:ext uri="{FF2B5EF4-FFF2-40B4-BE49-F238E27FC236}">
              <a16:creationId xmlns:a16="http://schemas.microsoft.com/office/drawing/2014/main" id="{4A0FF567-BE6F-4714-BC61-AD35AE1E32A4}"/>
            </a:ext>
          </a:extLst>
        </xdr:cNvPr>
        <xdr:cNvSpPr/>
      </xdr:nvSpPr>
      <xdr:spPr>
        <a:xfrm>
          <a:off x="731520" y="273558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bg2">
                  <a:lumMod val="75000"/>
                </a:schemeClr>
              </a:solidFill>
            </a:rPr>
            <a:t>Products</a:t>
          </a:r>
        </a:p>
      </xdr:txBody>
    </xdr:sp>
    <xdr:clientData/>
  </xdr:twoCellAnchor>
  <xdr:twoCellAnchor editAs="absolute">
    <xdr:from>
      <xdr:col>1</xdr:col>
      <xdr:colOff>312420</xdr:colOff>
      <xdr:row>14</xdr:row>
      <xdr:rowOff>76200</xdr:rowOff>
    </xdr:from>
    <xdr:to>
      <xdr:col>1</xdr:col>
      <xdr:colOff>1303020</xdr:colOff>
      <xdr:row>15</xdr:row>
      <xdr:rowOff>182880</xdr:rowOff>
    </xdr:to>
    <xdr:sp macro="" textlink="">
      <xdr:nvSpPr>
        <xdr:cNvPr id="7" name="Rectangle 6">
          <a:hlinkClick xmlns:r="http://schemas.openxmlformats.org/officeDocument/2006/relationships" r:id="rId6"/>
          <a:extLst>
            <a:ext uri="{FF2B5EF4-FFF2-40B4-BE49-F238E27FC236}">
              <a16:creationId xmlns:a16="http://schemas.microsoft.com/office/drawing/2014/main" id="{14CE7D88-899B-41B1-B403-F37AD05D6FB4}"/>
            </a:ext>
          </a:extLst>
        </xdr:cNvPr>
        <xdr:cNvSpPr/>
      </xdr:nvSpPr>
      <xdr:spPr>
        <a:xfrm>
          <a:off x="731520" y="313944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bg2">
                  <a:lumMod val="75000"/>
                </a:schemeClr>
              </a:solidFill>
            </a:rPr>
            <a:t>Vendors</a:t>
          </a:r>
        </a:p>
      </xdr:txBody>
    </xdr:sp>
    <xdr:clientData/>
  </xdr:twoCellAnchor>
  <xdr:twoCellAnchor editAs="absolute">
    <xdr:from>
      <xdr:col>1</xdr:col>
      <xdr:colOff>312420</xdr:colOff>
      <xdr:row>15</xdr:row>
      <xdr:rowOff>182880</xdr:rowOff>
    </xdr:from>
    <xdr:to>
      <xdr:col>1</xdr:col>
      <xdr:colOff>1303020</xdr:colOff>
      <xdr:row>17</xdr:row>
      <xdr:rowOff>22860</xdr:rowOff>
    </xdr:to>
    <xdr:sp macro="" textlink="">
      <xdr:nvSpPr>
        <xdr:cNvPr id="8" name="Rectangle 7">
          <a:hlinkClick xmlns:r="http://schemas.openxmlformats.org/officeDocument/2006/relationships" r:id="rId7"/>
          <a:extLst>
            <a:ext uri="{FF2B5EF4-FFF2-40B4-BE49-F238E27FC236}">
              <a16:creationId xmlns:a16="http://schemas.microsoft.com/office/drawing/2014/main" id="{2086D047-FC7F-4F3E-B03D-7021CFB8F46E}"/>
            </a:ext>
          </a:extLst>
        </xdr:cNvPr>
        <xdr:cNvSpPr/>
      </xdr:nvSpPr>
      <xdr:spPr>
        <a:xfrm>
          <a:off x="731520" y="351282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bg2">
                  <a:lumMod val="75000"/>
                </a:schemeClr>
              </a:solidFill>
            </a:rPr>
            <a:t>New</a:t>
          </a:r>
          <a:r>
            <a:rPr lang="en-IN" sz="1400" b="0" baseline="0">
              <a:solidFill>
                <a:schemeClr val="bg2">
                  <a:lumMod val="75000"/>
                </a:schemeClr>
              </a:solidFill>
            </a:rPr>
            <a:t> Entry</a:t>
          </a:r>
          <a:endParaRPr lang="en-IN" sz="1400" b="0">
            <a:solidFill>
              <a:schemeClr val="bg2">
                <a:lumMod val="75000"/>
              </a:schemeClr>
            </a:solidFill>
          </a:endParaRPr>
        </a:p>
      </xdr:txBody>
    </xdr:sp>
    <xdr:clientData/>
  </xdr:twoCellAnchor>
  <xdr:twoCellAnchor editAs="absolute">
    <xdr:from>
      <xdr:col>1</xdr:col>
      <xdr:colOff>312420</xdr:colOff>
      <xdr:row>17</xdr:row>
      <xdr:rowOff>83820</xdr:rowOff>
    </xdr:from>
    <xdr:to>
      <xdr:col>1</xdr:col>
      <xdr:colOff>1303020</xdr:colOff>
      <xdr:row>18</xdr:row>
      <xdr:rowOff>190500</xdr:rowOff>
    </xdr:to>
    <xdr:sp macro="" textlink="">
      <xdr:nvSpPr>
        <xdr:cNvPr id="9" name="Rectangle 8">
          <a:hlinkClick xmlns:r="http://schemas.openxmlformats.org/officeDocument/2006/relationships" r:id="rId8"/>
          <a:extLst>
            <a:ext uri="{FF2B5EF4-FFF2-40B4-BE49-F238E27FC236}">
              <a16:creationId xmlns:a16="http://schemas.microsoft.com/office/drawing/2014/main" id="{195E21CE-1D90-4A60-A278-EE01996E66A7}"/>
            </a:ext>
          </a:extLst>
        </xdr:cNvPr>
        <xdr:cNvSpPr/>
      </xdr:nvSpPr>
      <xdr:spPr>
        <a:xfrm>
          <a:off x="731520" y="394716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Purchase</a:t>
          </a:r>
        </a:p>
      </xdr:txBody>
    </xdr:sp>
    <xdr:clientData/>
  </xdr:twoCellAnchor>
  <xdr:twoCellAnchor editAs="absolute">
    <xdr:from>
      <xdr:col>1</xdr:col>
      <xdr:colOff>312420</xdr:colOff>
      <xdr:row>18</xdr:row>
      <xdr:rowOff>198120</xdr:rowOff>
    </xdr:from>
    <xdr:to>
      <xdr:col>1</xdr:col>
      <xdr:colOff>1303020</xdr:colOff>
      <xdr:row>20</xdr:row>
      <xdr:rowOff>38100</xdr:rowOff>
    </xdr:to>
    <xdr:sp macro="" textlink="">
      <xdr:nvSpPr>
        <xdr:cNvPr id="10" name="Rectangle 9">
          <a:hlinkClick xmlns:r="http://schemas.openxmlformats.org/officeDocument/2006/relationships" r:id="rId9"/>
          <a:extLst>
            <a:ext uri="{FF2B5EF4-FFF2-40B4-BE49-F238E27FC236}">
              <a16:creationId xmlns:a16="http://schemas.microsoft.com/office/drawing/2014/main" id="{88E032FD-A24D-4064-BA49-26C66BC4CAF2}"/>
            </a:ext>
          </a:extLst>
        </xdr:cNvPr>
        <xdr:cNvSpPr/>
      </xdr:nvSpPr>
      <xdr:spPr>
        <a:xfrm>
          <a:off x="731520" y="432816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bg2">
                  <a:lumMod val="75000"/>
                </a:schemeClr>
              </a:solidFill>
            </a:rPr>
            <a:t>Sales</a:t>
          </a:r>
        </a:p>
      </xdr:txBody>
    </xdr:sp>
    <xdr:clientData/>
  </xdr:twoCellAnchor>
  <xdr:twoCellAnchor editAs="absolute">
    <xdr:from>
      <xdr:col>1</xdr:col>
      <xdr:colOff>342900</xdr:colOff>
      <xdr:row>20</xdr:row>
      <xdr:rowOff>7620</xdr:rowOff>
    </xdr:from>
    <xdr:to>
      <xdr:col>1</xdr:col>
      <xdr:colOff>1333500</xdr:colOff>
      <xdr:row>21</xdr:row>
      <xdr:rowOff>114300</xdr:rowOff>
    </xdr:to>
    <xdr:sp macro="" textlink="">
      <xdr:nvSpPr>
        <xdr:cNvPr id="11" name="Rectangle 10">
          <a:hlinkClick xmlns:r="http://schemas.openxmlformats.org/officeDocument/2006/relationships" r:id="rId10"/>
          <a:extLst>
            <a:ext uri="{FF2B5EF4-FFF2-40B4-BE49-F238E27FC236}">
              <a16:creationId xmlns:a16="http://schemas.microsoft.com/office/drawing/2014/main" id="{B4EBE121-DEDD-438B-8D56-9E27C41791B3}"/>
            </a:ext>
          </a:extLst>
        </xdr:cNvPr>
        <xdr:cNvSpPr/>
      </xdr:nvSpPr>
      <xdr:spPr>
        <a:xfrm>
          <a:off x="762000" y="467106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bg2">
                  <a:lumMod val="75000"/>
                </a:schemeClr>
              </a:solidFill>
            </a:rPr>
            <a:t>Inventory</a:t>
          </a:r>
        </a:p>
      </xdr:txBody>
    </xdr:sp>
    <xdr:clientData/>
  </xdr:twoCellAnchor>
  <xdr:twoCellAnchor editAs="absolute">
    <xdr:from>
      <xdr:col>1</xdr:col>
      <xdr:colOff>109920</xdr:colOff>
      <xdr:row>20</xdr:row>
      <xdr:rowOff>53340</xdr:rowOff>
    </xdr:from>
    <xdr:to>
      <xdr:col>1</xdr:col>
      <xdr:colOff>361920</xdr:colOff>
      <xdr:row>21</xdr:row>
      <xdr:rowOff>38640</xdr:rowOff>
    </xdr:to>
    <xdr:pic>
      <xdr:nvPicPr>
        <xdr:cNvPr id="12" name="Graphic 11" descr="Checklist with solid fill">
          <a:extLst>
            <a:ext uri="{FF2B5EF4-FFF2-40B4-BE49-F238E27FC236}">
              <a16:creationId xmlns:a16="http://schemas.microsoft.com/office/drawing/2014/main" id="{76FE6E43-BB19-4944-82DE-4E7AAF84D94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29020" y="4716780"/>
          <a:ext cx="252000" cy="252000"/>
        </a:xfrm>
        <a:prstGeom prst="rect">
          <a:avLst/>
        </a:prstGeom>
      </xdr:spPr>
    </xdr:pic>
    <xdr:clientData/>
  </xdr:twoCellAnchor>
  <xdr:twoCellAnchor editAs="absolute">
    <xdr:from>
      <xdr:col>1</xdr:col>
      <xdr:colOff>102300</xdr:colOff>
      <xdr:row>17</xdr:row>
      <xdr:rowOff>61240</xdr:rowOff>
    </xdr:from>
    <xdr:to>
      <xdr:col>1</xdr:col>
      <xdr:colOff>354300</xdr:colOff>
      <xdr:row>18</xdr:row>
      <xdr:rowOff>46540</xdr:rowOff>
    </xdr:to>
    <xdr:pic>
      <xdr:nvPicPr>
        <xdr:cNvPr id="13" name="Graphic 12" descr="Clipboard with solid fill">
          <a:extLst>
            <a:ext uri="{FF2B5EF4-FFF2-40B4-BE49-F238E27FC236}">
              <a16:creationId xmlns:a16="http://schemas.microsoft.com/office/drawing/2014/main" id="{13745E5D-565F-49A1-B31C-B21B37AC1F3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21400" y="3924580"/>
          <a:ext cx="252000" cy="252000"/>
        </a:xfrm>
        <a:prstGeom prst="rect">
          <a:avLst/>
        </a:prstGeom>
      </xdr:spPr>
    </xdr:pic>
    <xdr:clientData/>
  </xdr:twoCellAnchor>
  <xdr:twoCellAnchor editAs="absolute">
    <xdr:from>
      <xdr:col>1</xdr:col>
      <xdr:colOff>94680</xdr:colOff>
      <xdr:row>15</xdr:row>
      <xdr:rowOff>187110</xdr:rowOff>
    </xdr:from>
    <xdr:to>
      <xdr:col>1</xdr:col>
      <xdr:colOff>346680</xdr:colOff>
      <xdr:row>16</xdr:row>
      <xdr:rowOff>172410</xdr:rowOff>
    </xdr:to>
    <xdr:pic>
      <xdr:nvPicPr>
        <xdr:cNvPr id="14" name="Graphic 13" descr="Connections with solid fill">
          <a:extLst>
            <a:ext uri="{FF2B5EF4-FFF2-40B4-BE49-F238E27FC236}">
              <a16:creationId xmlns:a16="http://schemas.microsoft.com/office/drawing/2014/main" id="{A5510600-295D-49EC-A136-CFF2510C1DDB}"/>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513780" y="3517050"/>
          <a:ext cx="252000" cy="252000"/>
        </a:xfrm>
        <a:prstGeom prst="rect">
          <a:avLst/>
        </a:prstGeom>
      </xdr:spPr>
    </xdr:pic>
    <xdr:clientData/>
  </xdr:twoCellAnchor>
  <xdr:twoCellAnchor editAs="absolute">
    <xdr:from>
      <xdr:col>1</xdr:col>
      <xdr:colOff>94680</xdr:colOff>
      <xdr:row>12</xdr:row>
      <xdr:rowOff>229160</xdr:rowOff>
    </xdr:from>
    <xdr:to>
      <xdr:col>1</xdr:col>
      <xdr:colOff>346680</xdr:colOff>
      <xdr:row>13</xdr:row>
      <xdr:rowOff>214460</xdr:rowOff>
    </xdr:to>
    <xdr:pic>
      <xdr:nvPicPr>
        <xdr:cNvPr id="15" name="Graphic 14" descr="Group of people with solid fill">
          <a:extLst>
            <a:ext uri="{FF2B5EF4-FFF2-40B4-BE49-F238E27FC236}">
              <a16:creationId xmlns:a16="http://schemas.microsoft.com/office/drawing/2014/main" id="{0E0C82FE-2D63-470C-8D56-8DE58F824C2C}"/>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513780" y="2759000"/>
          <a:ext cx="252000" cy="252000"/>
        </a:xfrm>
        <a:prstGeom prst="rect">
          <a:avLst/>
        </a:prstGeom>
      </xdr:spPr>
    </xdr:pic>
    <xdr:clientData/>
  </xdr:twoCellAnchor>
  <xdr:twoCellAnchor editAs="absolute">
    <xdr:from>
      <xdr:col>1</xdr:col>
      <xdr:colOff>79440</xdr:colOff>
      <xdr:row>14</xdr:row>
      <xdr:rowOff>71820</xdr:rowOff>
    </xdr:from>
    <xdr:to>
      <xdr:col>1</xdr:col>
      <xdr:colOff>373380</xdr:colOff>
      <xdr:row>15</xdr:row>
      <xdr:rowOff>99060</xdr:rowOff>
    </xdr:to>
    <xdr:pic>
      <xdr:nvPicPr>
        <xdr:cNvPr id="16" name="Graphic 15" descr="Male profile with solid fill">
          <a:extLst>
            <a:ext uri="{FF2B5EF4-FFF2-40B4-BE49-F238E27FC236}">
              <a16:creationId xmlns:a16="http://schemas.microsoft.com/office/drawing/2014/main" id="{58A81F84-811E-4D39-BE66-7993CA931D42}"/>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498540" y="3135060"/>
          <a:ext cx="293940" cy="293940"/>
        </a:xfrm>
        <a:prstGeom prst="rect">
          <a:avLst/>
        </a:prstGeom>
      </xdr:spPr>
    </xdr:pic>
    <xdr:clientData/>
  </xdr:twoCellAnchor>
  <xdr:twoCellAnchor editAs="absolute">
    <xdr:from>
      <xdr:col>1</xdr:col>
      <xdr:colOff>71820</xdr:colOff>
      <xdr:row>9</xdr:row>
      <xdr:rowOff>229440</xdr:rowOff>
    </xdr:from>
    <xdr:to>
      <xdr:col>1</xdr:col>
      <xdr:colOff>323820</xdr:colOff>
      <xdr:row>10</xdr:row>
      <xdr:rowOff>214740</xdr:rowOff>
    </xdr:to>
    <xdr:pic>
      <xdr:nvPicPr>
        <xdr:cNvPr id="17" name="Graphic 16" descr="Presentation with bar chart with solid fill">
          <a:extLst>
            <a:ext uri="{FF2B5EF4-FFF2-40B4-BE49-F238E27FC236}">
              <a16:creationId xmlns:a16="http://schemas.microsoft.com/office/drawing/2014/main" id="{DE0BB91B-8568-4355-81DA-1B80995D0E20}"/>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490920" y="1959180"/>
          <a:ext cx="252000" cy="252000"/>
        </a:xfrm>
        <a:prstGeom prst="rect">
          <a:avLst/>
        </a:prstGeom>
      </xdr:spPr>
    </xdr:pic>
    <xdr:clientData/>
  </xdr:twoCellAnchor>
  <xdr:twoCellAnchor editAs="absolute">
    <xdr:from>
      <xdr:col>1</xdr:col>
      <xdr:colOff>87060</xdr:colOff>
      <xdr:row>11</xdr:row>
      <xdr:rowOff>80710</xdr:rowOff>
    </xdr:from>
    <xdr:to>
      <xdr:col>1</xdr:col>
      <xdr:colOff>339060</xdr:colOff>
      <xdr:row>12</xdr:row>
      <xdr:rowOff>66010</xdr:rowOff>
    </xdr:to>
    <xdr:pic>
      <xdr:nvPicPr>
        <xdr:cNvPr id="18" name="Graphic 17" descr="User with solid fill">
          <a:extLst>
            <a:ext uri="{FF2B5EF4-FFF2-40B4-BE49-F238E27FC236}">
              <a16:creationId xmlns:a16="http://schemas.microsoft.com/office/drawing/2014/main" id="{A0D3E935-8E5D-4322-A0D7-3ACDC1B8B0FA}"/>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506160" y="2343850"/>
          <a:ext cx="252000" cy="252000"/>
        </a:xfrm>
        <a:prstGeom prst="rect">
          <a:avLst/>
        </a:prstGeom>
      </xdr:spPr>
    </xdr:pic>
    <xdr:clientData/>
  </xdr:twoCellAnchor>
  <xdr:twoCellAnchor editAs="absolute">
    <xdr:from>
      <xdr:col>1</xdr:col>
      <xdr:colOff>109920</xdr:colOff>
      <xdr:row>18</xdr:row>
      <xdr:rowOff>202070</xdr:rowOff>
    </xdr:from>
    <xdr:to>
      <xdr:col>1</xdr:col>
      <xdr:colOff>361920</xdr:colOff>
      <xdr:row>19</xdr:row>
      <xdr:rowOff>187370</xdr:rowOff>
    </xdr:to>
    <xdr:pic>
      <xdr:nvPicPr>
        <xdr:cNvPr id="19" name="Graphic 18" descr="Mathematics with solid fill">
          <a:extLst>
            <a:ext uri="{FF2B5EF4-FFF2-40B4-BE49-F238E27FC236}">
              <a16:creationId xmlns:a16="http://schemas.microsoft.com/office/drawing/2014/main" id="{6E7A5BA0-82D8-42B0-AAB8-AEB07F268CF2}"/>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529020" y="4332110"/>
          <a:ext cx="252000" cy="252000"/>
        </a:xfrm>
        <a:prstGeom prst="rect">
          <a:avLst/>
        </a:prstGeom>
      </xdr:spPr>
    </xdr:pic>
    <xdr:clientData/>
  </xdr:twoCellAnchor>
  <xdr:twoCellAnchor editAs="absolute">
    <xdr:from>
      <xdr:col>3</xdr:col>
      <xdr:colOff>0</xdr:colOff>
      <xdr:row>0</xdr:row>
      <xdr:rowOff>175260</xdr:rowOff>
    </xdr:from>
    <xdr:to>
      <xdr:col>13</xdr:col>
      <xdr:colOff>7620</xdr:colOff>
      <xdr:row>4</xdr:row>
      <xdr:rowOff>137160</xdr:rowOff>
    </xdr:to>
    <xdr:sp macro="" textlink="">
      <xdr:nvSpPr>
        <xdr:cNvPr id="20" name="Rectangle 19">
          <a:extLst>
            <a:ext uri="{FF2B5EF4-FFF2-40B4-BE49-F238E27FC236}">
              <a16:creationId xmlns:a16="http://schemas.microsoft.com/office/drawing/2014/main" id="{81E85A50-EF18-4FF6-92D2-67858DFB1F82}"/>
            </a:ext>
          </a:extLst>
        </xdr:cNvPr>
        <xdr:cNvSpPr/>
      </xdr:nvSpPr>
      <xdr:spPr>
        <a:xfrm>
          <a:off x="2545080" y="175260"/>
          <a:ext cx="11437620" cy="693420"/>
        </a:xfrm>
        <a:prstGeom prst="rect">
          <a:avLst/>
        </a:prstGeom>
        <a:solidFill>
          <a:schemeClr val="bg1"/>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3200" b="1" baseline="0">
              <a:solidFill>
                <a:schemeClr val="lt1"/>
              </a:solidFill>
            </a:rPr>
            <a:t>  </a:t>
          </a:r>
          <a:r>
            <a:rPr lang="en-IN" sz="3200" b="1">
              <a:solidFill>
                <a:schemeClr val="tx1"/>
              </a:solidFill>
            </a:rPr>
            <a:t>Purchase</a:t>
          </a:r>
          <a:endParaRPr lang="en-IN" sz="3200" b="1"/>
        </a:p>
      </xdr:txBody>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1</xdr:col>
      <xdr:colOff>457200</xdr:colOff>
      <xdr:row>3</xdr:row>
      <xdr:rowOff>114300</xdr:rowOff>
    </xdr:from>
    <xdr:to>
      <xdr:col>1</xdr:col>
      <xdr:colOff>1082040</xdr:colOff>
      <xdr:row>7</xdr:row>
      <xdr:rowOff>7620</xdr:rowOff>
    </xdr:to>
    <xdr:pic>
      <xdr:nvPicPr>
        <xdr:cNvPr id="2" name="Graphic 1" descr="Target Audience with solid fill">
          <a:extLst>
            <a:ext uri="{FF2B5EF4-FFF2-40B4-BE49-F238E27FC236}">
              <a16:creationId xmlns:a16="http://schemas.microsoft.com/office/drawing/2014/main" id="{AEC90F91-8934-411E-8010-39138895276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76300" y="662940"/>
          <a:ext cx="624840" cy="624840"/>
        </a:xfrm>
        <a:prstGeom prst="rect">
          <a:avLst/>
        </a:prstGeom>
      </xdr:spPr>
    </xdr:pic>
    <xdr:clientData/>
  </xdr:twoCellAnchor>
  <xdr:twoCellAnchor editAs="absolute">
    <xdr:from>
      <xdr:col>1</xdr:col>
      <xdr:colOff>22860</xdr:colOff>
      <xdr:row>6</xdr:row>
      <xdr:rowOff>129540</xdr:rowOff>
    </xdr:from>
    <xdr:to>
      <xdr:col>1</xdr:col>
      <xdr:colOff>1562100</xdr:colOff>
      <xdr:row>9</xdr:row>
      <xdr:rowOff>60960</xdr:rowOff>
    </xdr:to>
    <xdr:sp macro="" textlink="">
      <xdr:nvSpPr>
        <xdr:cNvPr id="3" name="Rectangle 2">
          <a:extLst>
            <a:ext uri="{FF2B5EF4-FFF2-40B4-BE49-F238E27FC236}">
              <a16:creationId xmlns:a16="http://schemas.microsoft.com/office/drawing/2014/main" id="{C5CAD82C-A674-4674-BC5C-5B84B07520DB}"/>
            </a:ext>
          </a:extLst>
        </xdr:cNvPr>
        <xdr:cNvSpPr/>
      </xdr:nvSpPr>
      <xdr:spPr>
        <a:xfrm>
          <a:off x="441960" y="1226820"/>
          <a:ext cx="1539240" cy="5943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Inventory Management System</a:t>
          </a:r>
        </a:p>
      </xdr:txBody>
    </xdr:sp>
    <xdr:clientData/>
  </xdr:twoCellAnchor>
  <xdr:twoCellAnchor editAs="absolute">
    <xdr:from>
      <xdr:col>1</xdr:col>
      <xdr:colOff>312420</xdr:colOff>
      <xdr:row>9</xdr:row>
      <xdr:rowOff>160020</xdr:rowOff>
    </xdr:from>
    <xdr:to>
      <xdr:col>1</xdr:col>
      <xdr:colOff>1303020</xdr:colOff>
      <xdr:row>10</xdr:row>
      <xdr:rowOff>236220</xdr:rowOff>
    </xdr:to>
    <xdr:sp macro="" textlink="">
      <xdr:nvSpPr>
        <xdr:cNvPr id="4" name="Rectangle 3">
          <a:hlinkClick xmlns:r="http://schemas.openxmlformats.org/officeDocument/2006/relationships" r:id="rId3"/>
          <a:extLst>
            <a:ext uri="{FF2B5EF4-FFF2-40B4-BE49-F238E27FC236}">
              <a16:creationId xmlns:a16="http://schemas.microsoft.com/office/drawing/2014/main" id="{CB5CEBED-E44B-430F-8EAF-48946984636D}"/>
            </a:ext>
          </a:extLst>
        </xdr:cNvPr>
        <xdr:cNvSpPr/>
      </xdr:nvSpPr>
      <xdr:spPr>
        <a:xfrm>
          <a:off x="731520" y="192024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bg2">
                  <a:lumMod val="75000"/>
                </a:schemeClr>
              </a:solidFill>
            </a:rPr>
            <a:t>Dashboard</a:t>
          </a:r>
        </a:p>
      </xdr:txBody>
    </xdr:sp>
    <xdr:clientData/>
  </xdr:twoCellAnchor>
  <xdr:twoCellAnchor editAs="absolute">
    <xdr:from>
      <xdr:col>1</xdr:col>
      <xdr:colOff>312420</xdr:colOff>
      <xdr:row>10</xdr:row>
      <xdr:rowOff>281940</xdr:rowOff>
    </xdr:from>
    <xdr:to>
      <xdr:col>1</xdr:col>
      <xdr:colOff>1303020</xdr:colOff>
      <xdr:row>12</xdr:row>
      <xdr:rowOff>60960</xdr:rowOff>
    </xdr:to>
    <xdr:sp macro="" textlink="">
      <xdr:nvSpPr>
        <xdr:cNvPr id="5" name="Rectangle 4">
          <a:hlinkClick xmlns:r="http://schemas.openxmlformats.org/officeDocument/2006/relationships" r:id="rId4"/>
          <a:extLst>
            <a:ext uri="{FF2B5EF4-FFF2-40B4-BE49-F238E27FC236}">
              <a16:creationId xmlns:a16="http://schemas.microsoft.com/office/drawing/2014/main" id="{7209F6F3-B8AB-41C3-88AC-756CB565CDF2}"/>
            </a:ext>
          </a:extLst>
        </xdr:cNvPr>
        <xdr:cNvSpPr/>
      </xdr:nvSpPr>
      <xdr:spPr>
        <a:xfrm>
          <a:off x="731520" y="233934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bg2">
                  <a:lumMod val="75000"/>
                </a:schemeClr>
              </a:solidFill>
            </a:rPr>
            <a:t>Customers</a:t>
          </a:r>
        </a:p>
      </xdr:txBody>
    </xdr:sp>
    <xdr:clientData/>
  </xdr:twoCellAnchor>
  <xdr:twoCellAnchor editAs="absolute">
    <xdr:from>
      <xdr:col>1</xdr:col>
      <xdr:colOff>312420</xdr:colOff>
      <xdr:row>12</xdr:row>
      <xdr:rowOff>83820</xdr:rowOff>
    </xdr:from>
    <xdr:to>
      <xdr:col>1</xdr:col>
      <xdr:colOff>1303020</xdr:colOff>
      <xdr:row>13</xdr:row>
      <xdr:rowOff>160020</xdr:rowOff>
    </xdr:to>
    <xdr:sp macro="" textlink="">
      <xdr:nvSpPr>
        <xdr:cNvPr id="6" name="Rectangle 5">
          <a:hlinkClick xmlns:r="http://schemas.openxmlformats.org/officeDocument/2006/relationships" r:id="rId5"/>
          <a:extLst>
            <a:ext uri="{FF2B5EF4-FFF2-40B4-BE49-F238E27FC236}">
              <a16:creationId xmlns:a16="http://schemas.microsoft.com/office/drawing/2014/main" id="{0067A880-841C-48B7-8FE6-8B3C207FD425}"/>
            </a:ext>
          </a:extLst>
        </xdr:cNvPr>
        <xdr:cNvSpPr/>
      </xdr:nvSpPr>
      <xdr:spPr>
        <a:xfrm>
          <a:off x="731520" y="273558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bg2">
                  <a:lumMod val="75000"/>
                </a:schemeClr>
              </a:solidFill>
            </a:rPr>
            <a:t>Products</a:t>
          </a:r>
        </a:p>
      </xdr:txBody>
    </xdr:sp>
    <xdr:clientData/>
  </xdr:twoCellAnchor>
  <xdr:twoCellAnchor editAs="absolute">
    <xdr:from>
      <xdr:col>1</xdr:col>
      <xdr:colOff>312420</xdr:colOff>
      <xdr:row>13</xdr:row>
      <xdr:rowOff>190500</xdr:rowOff>
    </xdr:from>
    <xdr:to>
      <xdr:col>1</xdr:col>
      <xdr:colOff>1303020</xdr:colOff>
      <xdr:row>14</xdr:row>
      <xdr:rowOff>266700</xdr:rowOff>
    </xdr:to>
    <xdr:sp macro="" textlink="">
      <xdr:nvSpPr>
        <xdr:cNvPr id="7" name="Rectangle 6">
          <a:hlinkClick xmlns:r="http://schemas.openxmlformats.org/officeDocument/2006/relationships" r:id="rId6"/>
          <a:extLst>
            <a:ext uri="{FF2B5EF4-FFF2-40B4-BE49-F238E27FC236}">
              <a16:creationId xmlns:a16="http://schemas.microsoft.com/office/drawing/2014/main" id="{E9C4018C-E378-4693-AED4-2D56822C7A55}"/>
            </a:ext>
          </a:extLst>
        </xdr:cNvPr>
        <xdr:cNvSpPr/>
      </xdr:nvSpPr>
      <xdr:spPr>
        <a:xfrm>
          <a:off x="731520" y="313944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bg2">
                  <a:lumMod val="75000"/>
                </a:schemeClr>
              </a:solidFill>
            </a:rPr>
            <a:t>Vendors</a:t>
          </a:r>
        </a:p>
      </xdr:txBody>
    </xdr:sp>
    <xdr:clientData/>
  </xdr:twoCellAnchor>
  <xdr:twoCellAnchor editAs="absolute">
    <xdr:from>
      <xdr:col>1</xdr:col>
      <xdr:colOff>312420</xdr:colOff>
      <xdr:row>14</xdr:row>
      <xdr:rowOff>266700</xdr:rowOff>
    </xdr:from>
    <xdr:to>
      <xdr:col>1</xdr:col>
      <xdr:colOff>1303020</xdr:colOff>
      <xdr:row>16</xdr:row>
      <xdr:rowOff>45720</xdr:rowOff>
    </xdr:to>
    <xdr:sp macro="" textlink="">
      <xdr:nvSpPr>
        <xdr:cNvPr id="8" name="Rectangle 7">
          <a:hlinkClick xmlns:r="http://schemas.openxmlformats.org/officeDocument/2006/relationships" r:id="rId7"/>
          <a:extLst>
            <a:ext uri="{FF2B5EF4-FFF2-40B4-BE49-F238E27FC236}">
              <a16:creationId xmlns:a16="http://schemas.microsoft.com/office/drawing/2014/main" id="{80DF5AEF-15A3-41BD-BFA2-D86DF1EC09A4}"/>
            </a:ext>
          </a:extLst>
        </xdr:cNvPr>
        <xdr:cNvSpPr/>
      </xdr:nvSpPr>
      <xdr:spPr>
        <a:xfrm>
          <a:off x="731520" y="351282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bg2">
                  <a:lumMod val="75000"/>
                </a:schemeClr>
              </a:solidFill>
            </a:rPr>
            <a:t>New</a:t>
          </a:r>
          <a:r>
            <a:rPr lang="en-IN" sz="1400" b="0" baseline="0">
              <a:solidFill>
                <a:schemeClr val="bg2">
                  <a:lumMod val="75000"/>
                </a:schemeClr>
              </a:solidFill>
            </a:rPr>
            <a:t> Entry</a:t>
          </a:r>
          <a:endParaRPr lang="en-IN" sz="1400" b="0">
            <a:solidFill>
              <a:schemeClr val="bg2">
                <a:lumMod val="75000"/>
              </a:schemeClr>
            </a:solidFill>
          </a:endParaRPr>
        </a:p>
      </xdr:txBody>
    </xdr:sp>
    <xdr:clientData/>
  </xdr:twoCellAnchor>
  <xdr:twoCellAnchor editAs="absolute">
    <xdr:from>
      <xdr:col>1</xdr:col>
      <xdr:colOff>312420</xdr:colOff>
      <xdr:row>16</xdr:row>
      <xdr:rowOff>106680</xdr:rowOff>
    </xdr:from>
    <xdr:to>
      <xdr:col>1</xdr:col>
      <xdr:colOff>1303020</xdr:colOff>
      <xdr:row>18</xdr:row>
      <xdr:rowOff>0</xdr:rowOff>
    </xdr:to>
    <xdr:sp macro="" textlink="">
      <xdr:nvSpPr>
        <xdr:cNvPr id="9" name="Rectangle 8">
          <a:hlinkClick xmlns:r="http://schemas.openxmlformats.org/officeDocument/2006/relationships" r:id="rId8"/>
          <a:extLst>
            <a:ext uri="{FF2B5EF4-FFF2-40B4-BE49-F238E27FC236}">
              <a16:creationId xmlns:a16="http://schemas.microsoft.com/office/drawing/2014/main" id="{D88021A7-8810-4271-B0C8-02E5BED833D8}"/>
            </a:ext>
          </a:extLst>
        </xdr:cNvPr>
        <xdr:cNvSpPr/>
      </xdr:nvSpPr>
      <xdr:spPr>
        <a:xfrm>
          <a:off x="731520" y="394716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bg2">
                  <a:lumMod val="75000"/>
                </a:schemeClr>
              </a:solidFill>
            </a:rPr>
            <a:t>Purchase</a:t>
          </a:r>
        </a:p>
      </xdr:txBody>
    </xdr:sp>
    <xdr:clientData/>
  </xdr:twoCellAnchor>
  <xdr:twoCellAnchor editAs="absolute">
    <xdr:from>
      <xdr:col>1</xdr:col>
      <xdr:colOff>312420</xdr:colOff>
      <xdr:row>18</xdr:row>
      <xdr:rowOff>7620</xdr:rowOff>
    </xdr:from>
    <xdr:to>
      <xdr:col>1</xdr:col>
      <xdr:colOff>1303020</xdr:colOff>
      <xdr:row>20</xdr:row>
      <xdr:rowOff>15240</xdr:rowOff>
    </xdr:to>
    <xdr:sp macro="" textlink="">
      <xdr:nvSpPr>
        <xdr:cNvPr id="10" name="Rectangle 9">
          <a:hlinkClick xmlns:r="http://schemas.openxmlformats.org/officeDocument/2006/relationships" r:id="rId9"/>
          <a:extLst>
            <a:ext uri="{FF2B5EF4-FFF2-40B4-BE49-F238E27FC236}">
              <a16:creationId xmlns:a16="http://schemas.microsoft.com/office/drawing/2014/main" id="{EEEA920C-547B-40DC-A5D4-AB00462121E8}"/>
            </a:ext>
          </a:extLst>
        </xdr:cNvPr>
        <xdr:cNvSpPr/>
      </xdr:nvSpPr>
      <xdr:spPr>
        <a:xfrm>
          <a:off x="731520" y="432816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Sales</a:t>
          </a:r>
        </a:p>
      </xdr:txBody>
    </xdr:sp>
    <xdr:clientData/>
  </xdr:twoCellAnchor>
  <xdr:twoCellAnchor editAs="absolute">
    <xdr:from>
      <xdr:col>1</xdr:col>
      <xdr:colOff>342900</xdr:colOff>
      <xdr:row>19</xdr:row>
      <xdr:rowOff>167640</xdr:rowOff>
    </xdr:from>
    <xdr:to>
      <xdr:col>1</xdr:col>
      <xdr:colOff>1333500</xdr:colOff>
      <xdr:row>21</xdr:row>
      <xdr:rowOff>175260</xdr:rowOff>
    </xdr:to>
    <xdr:sp macro="" textlink="">
      <xdr:nvSpPr>
        <xdr:cNvPr id="11" name="Rectangle 10">
          <a:hlinkClick xmlns:r="http://schemas.openxmlformats.org/officeDocument/2006/relationships" r:id="rId10"/>
          <a:extLst>
            <a:ext uri="{FF2B5EF4-FFF2-40B4-BE49-F238E27FC236}">
              <a16:creationId xmlns:a16="http://schemas.microsoft.com/office/drawing/2014/main" id="{939ED924-C320-4869-96C5-84B46B8A6FD0}"/>
            </a:ext>
          </a:extLst>
        </xdr:cNvPr>
        <xdr:cNvSpPr/>
      </xdr:nvSpPr>
      <xdr:spPr>
        <a:xfrm>
          <a:off x="762000" y="467106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bg2">
                  <a:lumMod val="75000"/>
                </a:schemeClr>
              </a:solidFill>
            </a:rPr>
            <a:t>Inventory</a:t>
          </a:r>
        </a:p>
      </xdr:txBody>
    </xdr:sp>
    <xdr:clientData/>
  </xdr:twoCellAnchor>
  <xdr:twoCellAnchor editAs="absolute">
    <xdr:from>
      <xdr:col>1</xdr:col>
      <xdr:colOff>109920</xdr:colOff>
      <xdr:row>20</xdr:row>
      <xdr:rowOff>30480</xdr:rowOff>
    </xdr:from>
    <xdr:to>
      <xdr:col>1</xdr:col>
      <xdr:colOff>361920</xdr:colOff>
      <xdr:row>21</xdr:row>
      <xdr:rowOff>99600</xdr:rowOff>
    </xdr:to>
    <xdr:pic>
      <xdr:nvPicPr>
        <xdr:cNvPr id="12" name="Graphic 11" descr="Checklist with solid fill">
          <a:extLst>
            <a:ext uri="{FF2B5EF4-FFF2-40B4-BE49-F238E27FC236}">
              <a16:creationId xmlns:a16="http://schemas.microsoft.com/office/drawing/2014/main" id="{C6998DFD-973D-445C-926B-53BAF67A920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29020" y="4716780"/>
          <a:ext cx="252000" cy="252000"/>
        </a:xfrm>
        <a:prstGeom prst="rect">
          <a:avLst/>
        </a:prstGeom>
      </xdr:spPr>
    </xdr:pic>
    <xdr:clientData/>
  </xdr:twoCellAnchor>
  <xdr:twoCellAnchor editAs="absolute">
    <xdr:from>
      <xdr:col>1</xdr:col>
      <xdr:colOff>102300</xdr:colOff>
      <xdr:row>16</xdr:row>
      <xdr:rowOff>84100</xdr:rowOff>
    </xdr:from>
    <xdr:to>
      <xdr:col>1</xdr:col>
      <xdr:colOff>354300</xdr:colOff>
      <xdr:row>17</xdr:row>
      <xdr:rowOff>38920</xdr:rowOff>
    </xdr:to>
    <xdr:pic>
      <xdr:nvPicPr>
        <xdr:cNvPr id="13" name="Graphic 12" descr="Clipboard with solid fill">
          <a:extLst>
            <a:ext uri="{FF2B5EF4-FFF2-40B4-BE49-F238E27FC236}">
              <a16:creationId xmlns:a16="http://schemas.microsoft.com/office/drawing/2014/main" id="{FAB2513D-5999-44AA-9403-0183A0E2533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21400" y="3924580"/>
          <a:ext cx="252000" cy="252000"/>
        </a:xfrm>
        <a:prstGeom prst="rect">
          <a:avLst/>
        </a:prstGeom>
      </xdr:spPr>
    </xdr:pic>
    <xdr:clientData/>
  </xdr:twoCellAnchor>
  <xdr:twoCellAnchor editAs="absolute">
    <xdr:from>
      <xdr:col>1</xdr:col>
      <xdr:colOff>94680</xdr:colOff>
      <xdr:row>14</xdr:row>
      <xdr:rowOff>270930</xdr:rowOff>
    </xdr:from>
    <xdr:to>
      <xdr:col>1</xdr:col>
      <xdr:colOff>346680</xdr:colOff>
      <xdr:row>15</xdr:row>
      <xdr:rowOff>225750</xdr:rowOff>
    </xdr:to>
    <xdr:pic>
      <xdr:nvPicPr>
        <xdr:cNvPr id="14" name="Graphic 13" descr="Connections with solid fill">
          <a:extLst>
            <a:ext uri="{FF2B5EF4-FFF2-40B4-BE49-F238E27FC236}">
              <a16:creationId xmlns:a16="http://schemas.microsoft.com/office/drawing/2014/main" id="{8E2CD39D-8A7E-429A-9749-73B1B9E8F833}"/>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513780" y="3517050"/>
          <a:ext cx="252000" cy="252000"/>
        </a:xfrm>
        <a:prstGeom prst="rect">
          <a:avLst/>
        </a:prstGeom>
      </xdr:spPr>
    </xdr:pic>
    <xdr:clientData/>
  </xdr:twoCellAnchor>
  <xdr:twoCellAnchor editAs="absolute">
    <xdr:from>
      <xdr:col>1</xdr:col>
      <xdr:colOff>94680</xdr:colOff>
      <xdr:row>12</xdr:row>
      <xdr:rowOff>107240</xdr:rowOff>
    </xdr:from>
    <xdr:to>
      <xdr:col>1</xdr:col>
      <xdr:colOff>346680</xdr:colOff>
      <xdr:row>13</xdr:row>
      <xdr:rowOff>62060</xdr:rowOff>
    </xdr:to>
    <xdr:pic>
      <xdr:nvPicPr>
        <xdr:cNvPr id="15" name="Graphic 14" descr="Group of people with solid fill">
          <a:extLst>
            <a:ext uri="{FF2B5EF4-FFF2-40B4-BE49-F238E27FC236}">
              <a16:creationId xmlns:a16="http://schemas.microsoft.com/office/drawing/2014/main" id="{394926AF-3B58-4551-B413-8E2B40705ECD}"/>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513780" y="2759000"/>
          <a:ext cx="252000" cy="252000"/>
        </a:xfrm>
        <a:prstGeom prst="rect">
          <a:avLst/>
        </a:prstGeom>
      </xdr:spPr>
    </xdr:pic>
    <xdr:clientData/>
  </xdr:twoCellAnchor>
  <xdr:twoCellAnchor editAs="absolute">
    <xdr:from>
      <xdr:col>1</xdr:col>
      <xdr:colOff>79440</xdr:colOff>
      <xdr:row>13</xdr:row>
      <xdr:rowOff>186120</xdr:rowOff>
    </xdr:from>
    <xdr:to>
      <xdr:col>1</xdr:col>
      <xdr:colOff>373380</xdr:colOff>
      <xdr:row>14</xdr:row>
      <xdr:rowOff>182880</xdr:rowOff>
    </xdr:to>
    <xdr:pic>
      <xdr:nvPicPr>
        <xdr:cNvPr id="16" name="Graphic 15" descr="Male profile with solid fill">
          <a:extLst>
            <a:ext uri="{FF2B5EF4-FFF2-40B4-BE49-F238E27FC236}">
              <a16:creationId xmlns:a16="http://schemas.microsoft.com/office/drawing/2014/main" id="{3ED2F848-F45D-42C7-8D71-E5839CF286E4}"/>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498540" y="3135060"/>
          <a:ext cx="293940" cy="293940"/>
        </a:xfrm>
        <a:prstGeom prst="rect">
          <a:avLst/>
        </a:prstGeom>
      </xdr:spPr>
    </xdr:pic>
    <xdr:clientData/>
  </xdr:twoCellAnchor>
  <xdr:twoCellAnchor editAs="absolute">
    <xdr:from>
      <xdr:col>1</xdr:col>
      <xdr:colOff>71820</xdr:colOff>
      <xdr:row>9</xdr:row>
      <xdr:rowOff>198960</xdr:rowOff>
    </xdr:from>
    <xdr:to>
      <xdr:col>1</xdr:col>
      <xdr:colOff>323820</xdr:colOff>
      <xdr:row>10</xdr:row>
      <xdr:rowOff>153780</xdr:rowOff>
    </xdr:to>
    <xdr:pic>
      <xdr:nvPicPr>
        <xdr:cNvPr id="17" name="Graphic 16" descr="Presentation with bar chart with solid fill">
          <a:extLst>
            <a:ext uri="{FF2B5EF4-FFF2-40B4-BE49-F238E27FC236}">
              <a16:creationId xmlns:a16="http://schemas.microsoft.com/office/drawing/2014/main" id="{B7026D77-5B46-4651-9B75-C00C2D626AA6}"/>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490920" y="1959180"/>
          <a:ext cx="252000" cy="252000"/>
        </a:xfrm>
        <a:prstGeom prst="rect">
          <a:avLst/>
        </a:prstGeom>
      </xdr:spPr>
    </xdr:pic>
    <xdr:clientData/>
  </xdr:twoCellAnchor>
  <xdr:twoCellAnchor editAs="absolute">
    <xdr:from>
      <xdr:col>1</xdr:col>
      <xdr:colOff>87060</xdr:colOff>
      <xdr:row>10</xdr:row>
      <xdr:rowOff>286450</xdr:rowOff>
    </xdr:from>
    <xdr:to>
      <xdr:col>1</xdr:col>
      <xdr:colOff>339060</xdr:colOff>
      <xdr:row>11</xdr:row>
      <xdr:rowOff>241270</xdr:rowOff>
    </xdr:to>
    <xdr:pic>
      <xdr:nvPicPr>
        <xdr:cNvPr id="18" name="Graphic 17" descr="User with solid fill">
          <a:extLst>
            <a:ext uri="{FF2B5EF4-FFF2-40B4-BE49-F238E27FC236}">
              <a16:creationId xmlns:a16="http://schemas.microsoft.com/office/drawing/2014/main" id="{BD268B14-B917-4D04-8DF5-97F12824F65D}"/>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506160" y="2343850"/>
          <a:ext cx="252000" cy="252000"/>
        </a:xfrm>
        <a:prstGeom prst="rect">
          <a:avLst/>
        </a:prstGeom>
      </xdr:spPr>
    </xdr:pic>
    <xdr:clientData/>
  </xdr:twoCellAnchor>
  <xdr:twoCellAnchor editAs="absolute">
    <xdr:from>
      <xdr:col>1</xdr:col>
      <xdr:colOff>109920</xdr:colOff>
      <xdr:row>18</xdr:row>
      <xdr:rowOff>11570</xdr:rowOff>
    </xdr:from>
    <xdr:to>
      <xdr:col>1</xdr:col>
      <xdr:colOff>361920</xdr:colOff>
      <xdr:row>19</xdr:row>
      <xdr:rowOff>80690</xdr:rowOff>
    </xdr:to>
    <xdr:pic>
      <xdr:nvPicPr>
        <xdr:cNvPr id="19" name="Graphic 18" descr="Mathematics with solid fill">
          <a:extLst>
            <a:ext uri="{FF2B5EF4-FFF2-40B4-BE49-F238E27FC236}">
              <a16:creationId xmlns:a16="http://schemas.microsoft.com/office/drawing/2014/main" id="{EFEAF8D1-B5CF-4F0A-9F84-984CAD8257D2}"/>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529020" y="4332110"/>
          <a:ext cx="252000" cy="252000"/>
        </a:xfrm>
        <a:prstGeom prst="rect">
          <a:avLst/>
        </a:prstGeom>
      </xdr:spPr>
    </xdr:pic>
    <xdr:clientData/>
  </xdr:twoCellAnchor>
  <xdr:twoCellAnchor editAs="absolute">
    <xdr:from>
      <xdr:col>3</xdr:col>
      <xdr:colOff>0</xdr:colOff>
      <xdr:row>0</xdr:row>
      <xdr:rowOff>175260</xdr:rowOff>
    </xdr:from>
    <xdr:to>
      <xdr:col>12</xdr:col>
      <xdr:colOff>152400</xdr:colOff>
      <xdr:row>4</xdr:row>
      <xdr:rowOff>137160</xdr:rowOff>
    </xdr:to>
    <xdr:sp macro="" textlink="">
      <xdr:nvSpPr>
        <xdr:cNvPr id="20" name="Rectangle 19">
          <a:extLst>
            <a:ext uri="{FF2B5EF4-FFF2-40B4-BE49-F238E27FC236}">
              <a16:creationId xmlns:a16="http://schemas.microsoft.com/office/drawing/2014/main" id="{8375506E-D44E-4565-A9CC-F118B3C35863}"/>
            </a:ext>
          </a:extLst>
        </xdr:cNvPr>
        <xdr:cNvSpPr/>
      </xdr:nvSpPr>
      <xdr:spPr>
        <a:xfrm>
          <a:off x="2484120" y="175260"/>
          <a:ext cx="11445240" cy="693420"/>
        </a:xfrm>
        <a:prstGeom prst="rect">
          <a:avLst/>
        </a:prstGeom>
        <a:solidFill>
          <a:schemeClr val="bg1"/>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3200" b="1"/>
            <a:t>S</a:t>
          </a:r>
          <a:r>
            <a:rPr lang="en-IN" sz="3200" b="1">
              <a:solidFill>
                <a:schemeClr val="tx1"/>
              </a:solidFill>
            </a:rPr>
            <a:t>Sales</a:t>
          </a:r>
          <a:endParaRPr lang="en-IN" sz="3200" b="1"/>
        </a:p>
      </xdr:txBody>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1</xdr:col>
      <xdr:colOff>457200</xdr:colOff>
      <xdr:row>3</xdr:row>
      <xdr:rowOff>114300</xdr:rowOff>
    </xdr:from>
    <xdr:to>
      <xdr:col>1</xdr:col>
      <xdr:colOff>1082040</xdr:colOff>
      <xdr:row>7</xdr:row>
      <xdr:rowOff>7620</xdr:rowOff>
    </xdr:to>
    <xdr:pic>
      <xdr:nvPicPr>
        <xdr:cNvPr id="2" name="Graphic 1" descr="Target Audience with solid fill">
          <a:extLst>
            <a:ext uri="{FF2B5EF4-FFF2-40B4-BE49-F238E27FC236}">
              <a16:creationId xmlns:a16="http://schemas.microsoft.com/office/drawing/2014/main" id="{FA5D6A83-4E05-429D-ACAF-4A2BC8990E1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76300" y="662940"/>
          <a:ext cx="624840" cy="624840"/>
        </a:xfrm>
        <a:prstGeom prst="rect">
          <a:avLst/>
        </a:prstGeom>
      </xdr:spPr>
    </xdr:pic>
    <xdr:clientData/>
  </xdr:twoCellAnchor>
  <xdr:twoCellAnchor editAs="absolute">
    <xdr:from>
      <xdr:col>1</xdr:col>
      <xdr:colOff>22860</xdr:colOff>
      <xdr:row>6</xdr:row>
      <xdr:rowOff>129540</xdr:rowOff>
    </xdr:from>
    <xdr:to>
      <xdr:col>1</xdr:col>
      <xdr:colOff>1562100</xdr:colOff>
      <xdr:row>9</xdr:row>
      <xdr:rowOff>60960</xdr:rowOff>
    </xdr:to>
    <xdr:sp macro="" textlink="">
      <xdr:nvSpPr>
        <xdr:cNvPr id="3" name="Rectangle 2">
          <a:extLst>
            <a:ext uri="{FF2B5EF4-FFF2-40B4-BE49-F238E27FC236}">
              <a16:creationId xmlns:a16="http://schemas.microsoft.com/office/drawing/2014/main" id="{55F08C03-ED43-429D-86A8-E07E59634D21}"/>
            </a:ext>
          </a:extLst>
        </xdr:cNvPr>
        <xdr:cNvSpPr/>
      </xdr:nvSpPr>
      <xdr:spPr>
        <a:xfrm>
          <a:off x="441960" y="1226820"/>
          <a:ext cx="1539240" cy="5943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Inventory Management System</a:t>
          </a:r>
        </a:p>
      </xdr:txBody>
    </xdr:sp>
    <xdr:clientData/>
  </xdr:twoCellAnchor>
  <xdr:twoCellAnchor editAs="absolute">
    <xdr:from>
      <xdr:col>1</xdr:col>
      <xdr:colOff>312420</xdr:colOff>
      <xdr:row>9</xdr:row>
      <xdr:rowOff>160020</xdr:rowOff>
    </xdr:from>
    <xdr:to>
      <xdr:col>1</xdr:col>
      <xdr:colOff>1303020</xdr:colOff>
      <xdr:row>10</xdr:row>
      <xdr:rowOff>236220</xdr:rowOff>
    </xdr:to>
    <xdr:sp macro="" textlink="">
      <xdr:nvSpPr>
        <xdr:cNvPr id="4" name="Rectangle 3">
          <a:hlinkClick xmlns:r="http://schemas.openxmlformats.org/officeDocument/2006/relationships" r:id="rId3"/>
          <a:extLst>
            <a:ext uri="{FF2B5EF4-FFF2-40B4-BE49-F238E27FC236}">
              <a16:creationId xmlns:a16="http://schemas.microsoft.com/office/drawing/2014/main" id="{4449EB22-9C0A-4AE0-98BA-11C0655012A0}"/>
            </a:ext>
          </a:extLst>
        </xdr:cNvPr>
        <xdr:cNvSpPr/>
      </xdr:nvSpPr>
      <xdr:spPr>
        <a:xfrm>
          <a:off x="731520" y="192024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bg2">
                  <a:lumMod val="75000"/>
                </a:schemeClr>
              </a:solidFill>
            </a:rPr>
            <a:t>Dashboard</a:t>
          </a:r>
        </a:p>
      </xdr:txBody>
    </xdr:sp>
    <xdr:clientData/>
  </xdr:twoCellAnchor>
  <xdr:twoCellAnchor editAs="absolute">
    <xdr:from>
      <xdr:col>1</xdr:col>
      <xdr:colOff>312420</xdr:colOff>
      <xdr:row>10</xdr:row>
      <xdr:rowOff>281940</xdr:rowOff>
    </xdr:from>
    <xdr:to>
      <xdr:col>1</xdr:col>
      <xdr:colOff>1303020</xdr:colOff>
      <xdr:row>12</xdr:row>
      <xdr:rowOff>60960</xdr:rowOff>
    </xdr:to>
    <xdr:sp macro="" textlink="">
      <xdr:nvSpPr>
        <xdr:cNvPr id="5" name="Rectangle 4">
          <a:hlinkClick xmlns:r="http://schemas.openxmlformats.org/officeDocument/2006/relationships" r:id="rId4"/>
          <a:extLst>
            <a:ext uri="{FF2B5EF4-FFF2-40B4-BE49-F238E27FC236}">
              <a16:creationId xmlns:a16="http://schemas.microsoft.com/office/drawing/2014/main" id="{06EB6F2D-C74F-4617-AADF-438387A24446}"/>
            </a:ext>
          </a:extLst>
        </xdr:cNvPr>
        <xdr:cNvSpPr/>
      </xdr:nvSpPr>
      <xdr:spPr>
        <a:xfrm>
          <a:off x="731520" y="233934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bg2">
                  <a:lumMod val="75000"/>
                </a:schemeClr>
              </a:solidFill>
            </a:rPr>
            <a:t>Customers</a:t>
          </a:r>
        </a:p>
      </xdr:txBody>
    </xdr:sp>
    <xdr:clientData/>
  </xdr:twoCellAnchor>
  <xdr:twoCellAnchor editAs="absolute">
    <xdr:from>
      <xdr:col>1</xdr:col>
      <xdr:colOff>312420</xdr:colOff>
      <xdr:row>12</xdr:row>
      <xdr:rowOff>83820</xdr:rowOff>
    </xdr:from>
    <xdr:to>
      <xdr:col>1</xdr:col>
      <xdr:colOff>1303020</xdr:colOff>
      <xdr:row>13</xdr:row>
      <xdr:rowOff>160020</xdr:rowOff>
    </xdr:to>
    <xdr:sp macro="" textlink="">
      <xdr:nvSpPr>
        <xdr:cNvPr id="6" name="Rectangle 5">
          <a:hlinkClick xmlns:r="http://schemas.openxmlformats.org/officeDocument/2006/relationships" r:id="rId5"/>
          <a:extLst>
            <a:ext uri="{FF2B5EF4-FFF2-40B4-BE49-F238E27FC236}">
              <a16:creationId xmlns:a16="http://schemas.microsoft.com/office/drawing/2014/main" id="{097F5EAE-2BAA-44F0-B0A3-7CEB46F5236F}"/>
            </a:ext>
          </a:extLst>
        </xdr:cNvPr>
        <xdr:cNvSpPr/>
      </xdr:nvSpPr>
      <xdr:spPr>
        <a:xfrm>
          <a:off x="731520" y="273558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bg2">
                  <a:lumMod val="75000"/>
                </a:schemeClr>
              </a:solidFill>
            </a:rPr>
            <a:t>Products</a:t>
          </a:r>
        </a:p>
      </xdr:txBody>
    </xdr:sp>
    <xdr:clientData/>
  </xdr:twoCellAnchor>
  <xdr:twoCellAnchor editAs="absolute">
    <xdr:from>
      <xdr:col>1</xdr:col>
      <xdr:colOff>312420</xdr:colOff>
      <xdr:row>13</xdr:row>
      <xdr:rowOff>190500</xdr:rowOff>
    </xdr:from>
    <xdr:to>
      <xdr:col>1</xdr:col>
      <xdr:colOff>1303020</xdr:colOff>
      <xdr:row>14</xdr:row>
      <xdr:rowOff>266700</xdr:rowOff>
    </xdr:to>
    <xdr:sp macro="" textlink="">
      <xdr:nvSpPr>
        <xdr:cNvPr id="7" name="Rectangle 6">
          <a:hlinkClick xmlns:r="http://schemas.openxmlformats.org/officeDocument/2006/relationships" r:id="rId6"/>
          <a:extLst>
            <a:ext uri="{FF2B5EF4-FFF2-40B4-BE49-F238E27FC236}">
              <a16:creationId xmlns:a16="http://schemas.microsoft.com/office/drawing/2014/main" id="{0F8D5E60-69D1-4869-A16C-C94B290D9FCF}"/>
            </a:ext>
          </a:extLst>
        </xdr:cNvPr>
        <xdr:cNvSpPr/>
      </xdr:nvSpPr>
      <xdr:spPr>
        <a:xfrm>
          <a:off x="731520" y="313944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bg2">
                  <a:lumMod val="75000"/>
                </a:schemeClr>
              </a:solidFill>
            </a:rPr>
            <a:t>Vendors</a:t>
          </a:r>
        </a:p>
      </xdr:txBody>
    </xdr:sp>
    <xdr:clientData/>
  </xdr:twoCellAnchor>
  <xdr:twoCellAnchor editAs="absolute">
    <xdr:from>
      <xdr:col>1</xdr:col>
      <xdr:colOff>312420</xdr:colOff>
      <xdr:row>14</xdr:row>
      <xdr:rowOff>266700</xdr:rowOff>
    </xdr:from>
    <xdr:to>
      <xdr:col>1</xdr:col>
      <xdr:colOff>1303020</xdr:colOff>
      <xdr:row>16</xdr:row>
      <xdr:rowOff>45720</xdr:rowOff>
    </xdr:to>
    <xdr:sp macro="" textlink="">
      <xdr:nvSpPr>
        <xdr:cNvPr id="8" name="Rectangle 7">
          <a:hlinkClick xmlns:r="http://schemas.openxmlformats.org/officeDocument/2006/relationships" r:id="rId7"/>
          <a:extLst>
            <a:ext uri="{FF2B5EF4-FFF2-40B4-BE49-F238E27FC236}">
              <a16:creationId xmlns:a16="http://schemas.microsoft.com/office/drawing/2014/main" id="{184717B8-A0C0-4EAE-89AE-BF6CD9839146}"/>
            </a:ext>
          </a:extLst>
        </xdr:cNvPr>
        <xdr:cNvSpPr/>
      </xdr:nvSpPr>
      <xdr:spPr>
        <a:xfrm>
          <a:off x="731520" y="351282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bg2">
                  <a:lumMod val="75000"/>
                </a:schemeClr>
              </a:solidFill>
            </a:rPr>
            <a:t>New</a:t>
          </a:r>
          <a:r>
            <a:rPr lang="en-IN" sz="1400" b="0" baseline="0">
              <a:solidFill>
                <a:schemeClr val="bg2">
                  <a:lumMod val="75000"/>
                </a:schemeClr>
              </a:solidFill>
            </a:rPr>
            <a:t> Entry</a:t>
          </a:r>
          <a:endParaRPr lang="en-IN" sz="1400" b="0">
            <a:solidFill>
              <a:schemeClr val="bg2">
                <a:lumMod val="75000"/>
              </a:schemeClr>
            </a:solidFill>
          </a:endParaRPr>
        </a:p>
      </xdr:txBody>
    </xdr:sp>
    <xdr:clientData/>
  </xdr:twoCellAnchor>
  <xdr:twoCellAnchor editAs="absolute">
    <xdr:from>
      <xdr:col>1</xdr:col>
      <xdr:colOff>312420</xdr:colOff>
      <xdr:row>16</xdr:row>
      <xdr:rowOff>106680</xdr:rowOff>
    </xdr:from>
    <xdr:to>
      <xdr:col>1</xdr:col>
      <xdr:colOff>1303020</xdr:colOff>
      <xdr:row>17</xdr:row>
      <xdr:rowOff>182880</xdr:rowOff>
    </xdr:to>
    <xdr:sp macro="" textlink="">
      <xdr:nvSpPr>
        <xdr:cNvPr id="9" name="Rectangle 8">
          <a:hlinkClick xmlns:r="http://schemas.openxmlformats.org/officeDocument/2006/relationships" r:id="rId8"/>
          <a:extLst>
            <a:ext uri="{FF2B5EF4-FFF2-40B4-BE49-F238E27FC236}">
              <a16:creationId xmlns:a16="http://schemas.microsoft.com/office/drawing/2014/main" id="{FBEAEBD1-3546-40EA-9FA2-98D949F857EE}"/>
            </a:ext>
          </a:extLst>
        </xdr:cNvPr>
        <xdr:cNvSpPr/>
      </xdr:nvSpPr>
      <xdr:spPr>
        <a:xfrm>
          <a:off x="731520" y="394716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bg2">
                  <a:lumMod val="75000"/>
                </a:schemeClr>
              </a:solidFill>
            </a:rPr>
            <a:t>Purchase</a:t>
          </a:r>
        </a:p>
      </xdr:txBody>
    </xdr:sp>
    <xdr:clientData/>
  </xdr:twoCellAnchor>
  <xdr:twoCellAnchor editAs="absolute">
    <xdr:from>
      <xdr:col>1</xdr:col>
      <xdr:colOff>312420</xdr:colOff>
      <xdr:row>17</xdr:row>
      <xdr:rowOff>190500</xdr:rowOff>
    </xdr:from>
    <xdr:to>
      <xdr:col>1</xdr:col>
      <xdr:colOff>1303020</xdr:colOff>
      <xdr:row>18</xdr:row>
      <xdr:rowOff>266700</xdr:rowOff>
    </xdr:to>
    <xdr:sp macro="" textlink="">
      <xdr:nvSpPr>
        <xdr:cNvPr id="10" name="Rectangle 9">
          <a:hlinkClick xmlns:r="http://schemas.openxmlformats.org/officeDocument/2006/relationships" r:id="rId9"/>
          <a:extLst>
            <a:ext uri="{FF2B5EF4-FFF2-40B4-BE49-F238E27FC236}">
              <a16:creationId xmlns:a16="http://schemas.microsoft.com/office/drawing/2014/main" id="{2DEB5154-392B-47C6-B4B8-8FF3301A363F}"/>
            </a:ext>
          </a:extLst>
        </xdr:cNvPr>
        <xdr:cNvSpPr/>
      </xdr:nvSpPr>
      <xdr:spPr>
        <a:xfrm>
          <a:off x="731520" y="432816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bg2">
                  <a:lumMod val="75000"/>
                </a:schemeClr>
              </a:solidFill>
            </a:rPr>
            <a:t>Sales</a:t>
          </a:r>
        </a:p>
      </xdr:txBody>
    </xdr:sp>
    <xdr:clientData/>
  </xdr:twoCellAnchor>
  <xdr:twoCellAnchor editAs="absolute">
    <xdr:from>
      <xdr:col>1</xdr:col>
      <xdr:colOff>342900</xdr:colOff>
      <xdr:row>18</xdr:row>
      <xdr:rowOff>236220</xdr:rowOff>
    </xdr:from>
    <xdr:to>
      <xdr:col>1</xdr:col>
      <xdr:colOff>1333500</xdr:colOff>
      <xdr:row>20</xdr:row>
      <xdr:rowOff>15240</xdr:rowOff>
    </xdr:to>
    <xdr:sp macro="" textlink="">
      <xdr:nvSpPr>
        <xdr:cNvPr id="11" name="Rectangle 10">
          <a:hlinkClick xmlns:r="http://schemas.openxmlformats.org/officeDocument/2006/relationships" r:id="rId10"/>
          <a:extLst>
            <a:ext uri="{FF2B5EF4-FFF2-40B4-BE49-F238E27FC236}">
              <a16:creationId xmlns:a16="http://schemas.microsoft.com/office/drawing/2014/main" id="{9F3251E4-7351-4030-997E-CD09095A1756}"/>
            </a:ext>
          </a:extLst>
        </xdr:cNvPr>
        <xdr:cNvSpPr/>
      </xdr:nvSpPr>
      <xdr:spPr>
        <a:xfrm>
          <a:off x="762000" y="4671060"/>
          <a:ext cx="9906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Inventory</a:t>
          </a:r>
        </a:p>
      </xdr:txBody>
    </xdr:sp>
    <xdr:clientData/>
  </xdr:twoCellAnchor>
  <xdr:twoCellAnchor editAs="absolute">
    <xdr:from>
      <xdr:col>1</xdr:col>
      <xdr:colOff>109920</xdr:colOff>
      <xdr:row>18</xdr:row>
      <xdr:rowOff>281940</xdr:rowOff>
    </xdr:from>
    <xdr:to>
      <xdr:col>1</xdr:col>
      <xdr:colOff>361920</xdr:colOff>
      <xdr:row>19</xdr:row>
      <xdr:rowOff>236760</xdr:rowOff>
    </xdr:to>
    <xdr:pic>
      <xdr:nvPicPr>
        <xdr:cNvPr id="12" name="Graphic 11" descr="Checklist with solid fill">
          <a:extLst>
            <a:ext uri="{FF2B5EF4-FFF2-40B4-BE49-F238E27FC236}">
              <a16:creationId xmlns:a16="http://schemas.microsoft.com/office/drawing/2014/main" id="{142C713E-6CAE-4D19-9110-2EB21C06FAD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29020" y="4716780"/>
          <a:ext cx="252000" cy="252000"/>
        </a:xfrm>
        <a:prstGeom prst="rect">
          <a:avLst/>
        </a:prstGeom>
      </xdr:spPr>
    </xdr:pic>
    <xdr:clientData/>
  </xdr:twoCellAnchor>
  <xdr:twoCellAnchor editAs="absolute">
    <xdr:from>
      <xdr:col>1</xdr:col>
      <xdr:colOff>102300</xdr:colOff>
      <xdr:row>16</xdr:row>
      <xdr:rowOff>84100</xdr:rowOff>
    </xdr:from>
    <xdr:to>
      <xdr:col>1</xdr:col>
      <xdr:colOff>354300</xdr:colOff>
      <xdr:row>17</xdr:row>
      <xdr:rowOff>38920</xdr:rowOff>
    </xdr:to>
    <xdr:pic>
      <xdr:nvPicPr>
        <xdr:cNvPr id="13" name="Graphic 12" descr="Clipboard with solid fill">
          <a:extLst>
            <a:ext uri="{FF2B5EF4-FFF2-40B4-BE49-F238E27FC236}">
              <a16:creationId xmlns:a16="http://schemas.microsoft.com/office/drawing/2014/main" id="{4D86E2FE-BDD2-47BD-9ED0-2ED93BE6B794}"/>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21400" y="3924580"/>
          <a:ext cx="252000" cy="252000"/>
        </a:xfrm>
        <a:prstGeom prst="rect">
          <a:avLst/>
        </a:prstGeom>
      </xdr:spPr>
    </xdr:pic>
    <xdr:clientData/>
  </xdr:twoCellAnchor>
  <xdr:twoCellAnchor editAs="absolute">
    <xdr:from>
      <xdr:col>1</xdr:col>
      <xdr:colOff>94680</xdr:colOff>
      <xdr:row>14</xdr:row>
      <xdr:rowOff>270930</xdr:rowOff>
    </xdr:from>
    <xdr:to>
      <xdr:col>1</xdr:col>
      <xdr:colOff>346680</xdr:colOff>
      <xdr:row>15</xdr:row>
      <xdr:rowOff>225750</xdr:rowOff>
    </xdr:to>
    <xdr:pic>
      <xdr:nvPicPr>
        <xdr:cNvPr id="14" name="Graphic 13" descr="Connections with solid fill">
          <a:extLst>
            <a:ext uri="{FF2B5EF4-FFF2-40B4-BE49-F238E27FC236}">
              <a16:creationId xmlns:a16="http://schemas.microsoft.com/office/drawing/2014/main" id="{34DEFE41-5B11-4697-8255-D306E8FB6053}"/>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513780" y="3517050"/>
          <a:ext cx="252000" cy="252000"/>
        </a:xfrm>
        <a:prstGeom prst="rect">
          <a:avLst/>
        </a:prstGeom>
      </xdr:spPr>
    </xdr:pic>
    <xdr:clientData/>
  </xdr:twoCellAnchor>
  <xdr:twoCellAnchor editAs="absolute">
    <xdr:from>
      <xdr:col>1</xdr:col>
      <xdr:colOff>94680</xdr:colOff>
      <xdr:row>12</xdr:row>
      <xdr:rowOff>107240</xdr:rowOff>
    </xdr:from>
    <xdr:to>
      <xdr:col>1</xdr:col>
      <xdr:colOff>346680</xdr:colOff>
      <xdr:row>13</xdr:row>
      <xdr:rowOff>62060</xdr:rowOff>
    </xdr:to>
    <xdr:pic>
      <xdr:nvPicPr>
        <xdr:cNvPr id="15" name="Graphic 14" descr="Group of people with solid fill">
          <a:extLst>
            <a:ext uri="{FF2B5EF4-FFF2-40B4-BE49-F238E27FC236}">
              <a16:creationId xmlns:a16="http://schemas.microsoft.com/office/drawing/2014/main" id="{7FC594CB-AC45-4F3C-B260-F6B0B349D24A}"/>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513780" y="2759000"/>
          <a:ext cx="252000" cy="252000"/>
        </a:xfrm>
        <a:prstGeom prst="rect">
          <a:avLst/>
        </a:prstGeom>
      </xdr:spPr>
    </xdr:pic>
    <xdr:clientData/>
  </xdr:twoCellAnchor>
  <xdr:twoCellAnchor editAs="absolute">
    <xdr:from>
      <xdr:col>1</xdr:col>
      <xdr:colOff>79440</xdr:colOff>
      <xdr:row>13</xdr:row>
      <xdr:rowOff>186120</xdr:rowOff>
    </xdr:from>
    <xdr:to>
      <xdr:col>1</xdr:col>
      <xdr:colOff>373380</xdr:colOff>
      <xdr:row>14</xdr:row>
      <xdr:rowOff>182880</xdr:rowOff>
    </xdr:to>
    <xdr:pic>
      <xdr:nvPicPr>
        <xdr:cNvPr id="16" name="Graphic 15" descr="Male profile with solid fill">
          <a:extLst>
            <a:ext uri="{FF2B5EF4-FFF2-40B4-BE49-F238E27FC236}">
              <a16:creationId xmlns:a16="http://schemas.microsoft.com/office/drawing/2014/main" id="{A8BDEDE5-BC0D-49D7-B2E4-E2E8C69A41C5}"/>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498540" y="3135060"/>
          <a:ext cx="293940" cy="293940"/>
        </a:xfrm>
        <a:prstGeom prst="rect">
          <a:avLst/>
        </a:prstGeom>
      </xdr:spPr>
    </xdr:pic>
    <xdr:clientData/>
  </xdr:twoCellAnchor>
  <xdr:twoCellAnchor editAs="absolute">
    <xdr:from>
      <xdr:col>1</xdr:col>
      <xdr:colOff>71820</xdr:colOff>
      <xdr:row>9</xdr:row>
      <xdr:rowOff>198960</xdr:rowOff>
    </xdr:from>
    <xdr:to>
      <xdr:col>1</xdr:col>
      <xdr:colOff>323820</xdr:colOff>
      <xdr:row>10</xdr:row>
      <xdr:rowOff>153780</xdr:rowOff>
    </xdr:to>
    <xdr:pic>
      <xdr:nvPicPr>
        <xdr:cNvPr id="17" name="Graphic 16" descr="Presentation with bar chart with solid fill">
          <a:extLst>
            <a:ext uri="{FF2B5EF4-FFF2-40B4-BE49-F238E27FC236}">
              <a16:creationId xmlns:a16="http://schemas.microsoft.com/office/drawing/2014/main" id="{2947E602-968C-4B66-8CDB-CD5D7DBCC26E}"/>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490920" y="1959180"/>
          <a:ext cx="252000" cy="252000"/>
        </a:xfrm>
        <a:prstGeom prst="rect">
          <a:avLst/>
        </a:prstGeom>
      </xdr:spPr>
    </xdr:pic>
    <xdr:clientData/>
  </xdr:twoCellAnchor>
  <xdr:twoCellAnchor editAs="absolute">
    <xdr:from>
      <xdr:col>1</xdr:col>
      <xdr:colOff>87060</xdr:colOff>
      <xdr:row>10</xdr:row>
      <xdr:rowOff>286450</xdr:rowOff>
    </xdr:from>
    <xdr:to>
      <xdr:col>1</xdr:col>
      <xdr:colOff>339060</xdr:colOff>
      <xdr:row>11</xdr:row>
      <xdr:rowOff>241270</xdr:rowOff>
    </xdr:to>
    <xdr:pic>
      <xdr:nvPicPr>
        <xdr:cNvPr id="18" name="Graphic 17" descr="User with solid fill">
          <a:extLst>
            <a:ext uri="{FF2B5EF4-FFF2-40B4-BE49-F238E27FC236}">
              <a16:creationId xmlns:a16="http://schemas.microsoft.com/office/drawing/2014/main" id="{28CD0945-BEE1-442C-AC5A-53D043B9F84A}"/>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506160" y="2343850"/>
          <a:ext cx="252000" cy="252000"/>
        </a:xfrm>
        <a:prstGeom prst="rect">
          <a:avLst/>
        </a:prstGeom>
      </xdr:spPr>
    </xdr:pic>
    <xdr:clientData/>
  </xdr:twoCellAnchor>
  <xdr:twoCellAnchor editAs="absolute">
    <xdr:from>
      <xdr:col>1</xdr:col>
      <xdr:colOff>109920</xdr:colOff>
      <xdr:row>17</xdr:row>
      <xdr:rowOff>194450</xdr:rowOff>
    </xdr:from>
    <xdr:to>
      <xdr:col>1</xdr:col>
      <xdr:colOff>361920</xdr:colOff>
      <xdr:row>18</xdr:row>
      <xdr:rowOff>149270</xdr:rowOff>
    </xdr:to>
    <xdr:pic>
      <xdr:nvPicPr>
        <xdr:cNvPr id="19" name="Graphic 18" descr="Mathematics with solid fill">
          <a:extLst>
            <a:ext uri="{FF2B5EF4-FFF2-40B4-BE49-F238E27FC236}">
              <a16:creationId xmlns:a16="http://schemas.microsoft.com/office/drawing/2014/main" id="{6F38E3E4-309D-4287-8126-F0C5658454B7}"/>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529020" y="4332110"/>
          <a:ext cx="252000" cy="252000"/>
        </a:xfrm>
        <a:prstGeom prst="rect">
          <a:avLst/>
        </a:prstGeom>
      </xdr:spPr>
    </xdr:pic>
    <xdr:clientData/>
  </xdr:twoCellAnchor>
  <xdr:twoCellAnchor editAs="absolute">
    <xdr:from>
      <xdr:col>3</xdr:col>
      <xdr:colOff>0</xdr:colOff>
      <xdr:row>0</xdr:row>
      <xdr:rowOff>175260</xdr:rowOff>
    </xdr:from>
    <xdr:to>
      <xdr:col>13</xdr:col>
      <xdr:colOff>419100</xdr:colOff>
      <xdr:row>4</xdr:row>
      <xdr:rowOff>137160</xdr:rowOff>
    </xdr:to>
    <xdr:sp macro="" textlink="">
      <xdr:nvSpPr>
        <xdr:cNvPr id="20" name="Rectangle 19">
          <a:extLst>
            <a:ext uri="{FF2B5EF4-FFF2-40B4-BE49-F238E27FC236}">
              <a16:creationId xmlns:a16="http://schemas.microsoft.com/office/drawing/2014/main" id="{0C85AF0D-3A2E-440F-907A-030197D68A2E}"/>
            </a:ext>
          </a:extLst>
        </xdr:cNvPr>
        <xdr:cNvSpPr/>
      </xdr:nvSpPr>
      <xdr:spPr>
        <a:xfrm>
          <a:off x="2506980" y="175260"/>
          <a:ext cx="11452860" cy="693420"/>
        </a:xfrm>
        <a:prstGeom prst="rect">
          <a:avLst/>
        </a:prstGeom>
        <a:solidFill>
          <a:schemeClr val="bg1"/>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3200" b="1"/>
            <a:t>II</a:t>
          </a:r>
          <a:r>
            <a:rPr lang="en-IN" sz="3200" b="1">
              <a:solidFill>
                <a:schemeClr val="tx1"/>
              </a:solidFill>
            </a:rPr>
            <a:t>Inventory</a:t>
          </a:r>
          <a:endParaRPr lang="en-IN" sz="3200" b="1"/>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brahim Salat" refreshedDate="46182.778991550927" createdVersion="8" refreshedVersion="8" minRefreshableVersion="3" recordCount="7" xr:uid="{FCA72045-FBD5-4BDA-9AEE-F1D457F9D363}">
  <cacheSource type="worksheet">
    <worksheetSource name="customersdata"/>
  </cacheSource>
  <cacheFields count="4">
    <cacheField name="Cust_ID" numFmtId="0">
      <sharedItems containsSemiMixedTypes="0" containsString="0" containsNumber="1" containsInteger="1" minValue="100" maxValue="106"/>
    </cacheField>
    <cacheField name="Name" numFmtId="0">
      <sharedItems/>
    </cacheField>
    <cacheField name="Email" numFmtId="0">
      <sharedItems/>
    </cacheField>
    <cacheField name="Adress"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brahim Salat" refreshedDate="46182.778991898151" createdVersion="8" refreshedVersion="8" minRefreshableVersion="3" recordCount="11" xr:uid="{F338061A-1679-424B-AE28-434A09B0A3E5}">
  <cacheSource type="worksheet">
    <worksheetSource name="productsdata"/>
  </cacheSource>
  <cacheFields count="4">
    <cacheField name="HSN Code" numFmtId="0">
      <sharedItems containsBlank="1"/>
    </cacheField>
    <cacheField name="Product Name" numFmtId="0">
      <sharedItems containsBlank="1"/>
    </cacheField>
    <cacheField name="Cost" numFmtId="0">
      <sharedItems containsString="0" containsBlank="1" containsNumber="1" containsInteger="1" minValue="200" maxValue="52000"/>
    </cacheField>
    <cacheField name="Selling Price" numFmtId="0">
      <sharedItems containsString="0" containsBlank="1" containsNumber="1" minValue="240" maxValue="624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brahim Salat" refreshedDate="46182.778992013889" createdVersion="8" refreshedVersion="8" minRefreshableVersion="3" recordCount="15" xr:uid="{11D6420A-897B-4FCB-9B81-BE77ABC224AE}">
  <cacheSource type="worksheet">
    <worksheetSource name="purchasedata"/>
  </cacheSource>
  <cacheFields count="7">
    <cacheField name="HSN Code" numFmtId="0">
      <sharedItems containsBlank="1"/>
    </cacheField>
    <cacheField name="Product Name" numFmtId="0">
      <sharedItems/>
    </cacheField>
    <cacheField name="Vendor" numFmtId="0">
      <sharedItems/>
    </cacheField>
    <cacheField name="Date" numFmtId="0">
      <sharedItems containsNonDate="0" containsDate="1" containsString="0" containsBlank="1" minDate="2026-01-01T00:00:00" maxDate="2026-01-15T00:00:00"/>
    </cacheField>
    <cacheField name="Units" numFmtId="0">
      <sharedItems containsString="0" containsBlank="1" containsNumber="1" containsInteger="1" minValue="1" maxValue="12"/>
    </cacheField>
    <cacheField name="Cost" numFmtId="0">
      <sharedItems containsMixedTypes="1" containsNumber="1" containsInteger="1" minValue="200" maxValue="52000"/>
    </cacheField>
    <cacheField name="Amount" numFmtId="0">
      <sharedItems containsMixedTypes="1" containsNumber="1" containsInteger="1" minValue="800" maxValue="41600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brahim Salat" refreshedDate="46182.778992129628" createdVersion="8" refreshedVersion="8" minRefreshableVersion="3" recordCount="16" xr:uid="{2451D6B7-021F-4166-BB12-77C9D0BCDF84}">
  <cacheSource type="worksheet">
    <worksheetSource name="salesdata"/>
  </cacheSource>
  <cacheFields count="9">
    <cacheField name="Cust_ID" numFmtId="0">
      <sharedItems containsString="0" containsBlank="1" containsNumber="1" containsInteger="1" minValue="100" maxValue="106"/>
    </cacheField>
    <cacheField name="Cust_Name" numFmtId="0">
      <sharedItems count="8">
        <s v=""/>
        <s v="Ram Sales"/>
        <s v="Atul Ltd"/>
        <s v="MK Tech."/>
        <s v="99store"/>
        <s v="Rajesh Kumar"/>
        <s v="Amit"/>
        <s v="Jain Tel."/>
      </sharedItems>
    </cacheField>
    <cacheField name="HSN Code" numFmtId="0">
      <sharedItems containsBlank="1"/>
    </cacheField>
    <cacheField name="Product Name" numFmtId="0">
      <sharedItems/>
    </cacheField>
    <cacheField name="Date" numFmtId="0">
      <sharedItems containsNonDate="0" containsDate="1" containsString="0" containsBlank="1" minDate="2026-01-01T00:00:00" maxDate="2026-01-08T00:00:00"/>
    </cacheField>
    <cacheField name="Stocks(Units)" numFmtId="0">
      <sharedItems containsMixedTypes="1" containsNumber="1" containsInteger="1" minValue="1" maxValue="12"/>
    </cacheField>
    <cacheField name="Units" numFmtId="0">
      <sharedItems containsString="0" containsBlank="1" containsNumber="1" containsInteger="1" minValue="0" maxValue="6"/>
    </cacheField>
    <cacheField name="Price" numFmtId="0">
      <sharedItems containsMixedTypes="1" containsNumber="1" containsInteger="1" minValue="240" maxValue="62400"/>
    </cacheField>
    <cacheField name="Amount" numFmtId="0">
      <sharedItems containsMixedTypes="1" containsNumber="1" containsInteger="1" minValue="0" maxValue="15120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brahim Salat" refreshedDate="46182.778992476851" createdVersion="8" refreshedVersion="8" minRefreshableVersion="3" recordCount="11" xr:uid="{3AA92E0F-7A00-426B-B171-9C91B101B87A}">
  <cacheSource type="worksheet">
    <worksheetSource name="inventorydata"/>
  </cacheSource>
  <cacheFields count="9">
    <cacheField name="HSN Code" numFmtId="0">
      <sharedItems containsBlank="1"/>
    </cacheField>
    <cacheField name="Product Name" numFmtId="0">
      <sharedItems containsBlank="1" count="11">
        <m/>
        <s v="Smart Watch"/>
        <s v="Laptop HP xyz i5"/>
        <s v="Wireless Printer"/>
        <s v="Desktop"/>
        <s v="Mouse"/>
        <s v="Rgb Keyboard"/>
        <s v="Camera"/>
        <s v="HeadPhones"/>
        <s v="Speakers"/>
        <s v="Tablets"/>
      </sharedItems>
    </cacheField>
    <cacheField name="Cost" numFmtId="0">
      <sharedItems containsMixedTypes="1" containsNumber="1" containsInteger="1" minValue="200" maxValue="52000"/>
    </cacheField>
    <cacheField name="P Units" numFmtId="0">
      <sharedItems containsString="0" containsBlank="1" containsNumber="1" containsInteger="1" minValue="1" maxValue="13"/>
    </cacheField>
    <cacheField name="S Units" numFmtId="0">
      <sharedItems containsString="0" containsBlank="1" containsNumber="1" containsInteger="1" minValue="0" maxValue="6"/>
    </cacheField>
    <cacheField name="Stock" numFmtId="0">
      <sharedItems containsString="0" containsBlank="1" containsNumber="1" containsInteger="1" minValue="1" maxValue="12"/>
    </cacheField>
    <cacheField name="Stock Amt" numFmtId="0">
      <sharedItems containsMixedTypes="1" containsNumber="1" containsInteger="1" minValue="400" maxValue="624000"/>
    </cacheField>
    <cacheField name="Notification" numFmtId="0">
      <sharedItems/>
    </cacheField>
    <cacheField name="Inventory"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n v="100"/>
    <s v="Ram Sales"/>
    <s v="Ram@gmail.com"/>
    <s v="Delhi, India"/>
  </r>
  <r>
    <n v="101"/>
    <s v="Atul Ltd"/>
    <s v="Atulgmail.com"/>
    <s v="121102, Palwal, HR"/>
  </r>
  <r>
    <n v="102"/>
    <s v="MK Tech."/>
    <s v="MK@gmail.com"/>
    <s v="Faridabad, 121101"/>
  </r>
  <r>
    <n v="103"/>
    <s v="99store"/>
    <s v="99store@gmail.com"/>
    <s v="Agra, UP"/>
  </r>
  <r>
    <n v="104"/>
    <s v="Rajesh Kumar"/>
    <s v="Rajesh@gmail.com"/>
    <s v="New Delhi, 110011"/>
  </r>
  <r>
    <n v="105"/>
    <s v="Amit"/>
    <s v="Amit@gmail.com"/>
    <s v="Gurgao, Sec-15"/>
  </r>
  <r>
    <n v="106"/>
    <s v="Jain Tel."/>
    <s v="Jain@gmail.com"/>
    <s v="Janpath, New Delhi"/>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m/>
    <m/>
    <m/>
    <m/>
  </r>
  <r>
    <s v="N1001"/>
    <s v="Smart Watch"/>
    <n v="980"/>
    <n v="1176"/>
  </r>
  <r>
    <s v="N1002"/>
    <s v="Laptop HP xyz i5"/>
    <n v="34500"/>
    <n v="41400"/>
  </r>
  <r>
    <s v="N1003"/>
    <s v="Wireless Printer"/>
    <n v="4600"/>
    <n v="5520"/>
  </r>
  <r>
    <s v="N1004"/>
    <s v="Desktop"/>
    <n v="21000"/>
    <n v="25200"/>
  </r>
  <r>
    <s v="N1005"/>
    <s v="Mouse"/>
    <n v="200"/>
    <n v="240"/>
  </r>
  <r>
    <s v="N1006"/>
    <s v="Rgb Keyboard"/>
    <n v="340"/>
    <n v="408"/>
  </r>
  <r>
    <s v="N1007"/>
    <s v="Camera"/>
    <n v="52000"/>
    <n v="62400"/>
  </r>
  <r>
    <s v="N1008"/>
    <s v="HeadPhones"/>
    <n v="799"/>
    <n v="958.8"/>
  </r>
  <r>
    <s v="N1009"/>
    <s v="Speakers"/>
    <n v="670"/>
    <n v="804"/>
  </r>
  <r>
    <s v="N1010"/>
    <s v="Tablets"/>
    <n v="23500"/>
    <n v="282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m/>
    <s v=""/>
    <s v=""/>
    <m/>
    <m/>
    <s v=""/>
    <s v=""/>
  </r>
  <r>
    <s v="N1001"/>
    <s v="Smart Watch"/>
    <s v="Tech99"/>
    <d v="2026-01-01T00:00:00"/>
    <n v="12"/>
    <n v="980"/>
    <n v="11760"/>
  </r>
  <r>
    <s v="N1002"/>
    <s v="Laptop HP xyz i5"/>
    <s v="Tech99"/>
    <d v="2026-01-02T00:00:00"/>
    <n v="1"/>
    <n v="34500"/>
    <n v="34500"/>
  </r>
  <r>
    <s v="N1003"/>
    <s v="Wireless Printer"/>
    <s v="Tech99"/>
    <d v="2026-01-03T00:00:00"/>
    <n v="3"/>
    <n v="4600"/>
    <n v="13800"/>
  </r>
  <r>
    <s v="N1004"/>
    <s v="Desktop"/>
    <s v="GG Traders"/>
    <d v="2026-01-04T00:00:00"/>
    <n v="8"/>
    <n v="21000"/>
    <n v="168000"/>
  </r>
  <r>
    <s v="N1005"/>
    <s v="Mouse"/>
    <s v="GG Traders"/>
    <d v="2026-01-05T00:00:00"/>
    <n v="4"/>
    <n v="200"/>
    <n v="800"/>
  </r>
  <r>
    <s v="N1006"/>
    <s v="Rgb Keyboard"/>
    <s v="GG Traders"/>
    <d v="2026-01-06T00:00:00"/>
    <n v="10"/>
    <n v="340"/>
    <n v="3400"/>
  </r>
  <r>
    <s v="N1007"/>
    <s v="Camera"/>
    <s v="GG Traders"/>
    <d v="2026-01-07T00:00:00"/>
    <n v="8"/>
    <n v="52000"/>
    <n v="416000"/>
  </r>
  <r>
    <s v="N1008"/>
    <s v="HeadPhones"/>
    <s v="Compac"/>
    <d v="2026-01-08T00:00:00"/>
    <n v="12"/>
    <n v="799"/>
    <n v="9588"/>
  </r>
  <r>
    <s v="N1009"/>
    <s v="Speakers"/>
    <s v="Compac"/>
    <d v="2026-01-09T00:00:00"/>
    <n v="10"/>
    <n v="670"/>
    <n v="6700"/>
  </r>
  <r>
    <s v="N1010"/>
    <s v="Tablets"/>
    <s v="Compac"/>
    <d v="2026-01-10T00:00:00"/>
    <n v="2"/>
    <n v="23500"/>
    <n v="47000"/>
  </r>
  <r>
    <s v="N1003"/>
    <s v="Wireless Printer"/>
    <s v="Tech99"/>
    <d v="2026-01-11T00:00:00"/>
    <n v="1"/>
    <n v="4600"/>
    <n v="4600"/>
  </r>
  <r>
    <s v="N1004"/>
    <s v="Desktop"/>
    <s v="GG Traders"/>
    <d v="2026-01-12T00:00:00"/>
    <n v="2"/>
    <n v="21000"/>
    <n v="42000"/>
  </r>
  <r>
    <s v="N1007"/>
    <s v="Camera"/>
    <s v="GG Traders"/>
    <d v="2026-01-13T00:00:00"/>
    <n v="5"/>
    <n v="52000"/>
    <n v="260000"/>
  </r>
  <r>
    <s v="N1001"/>
    <s v="Smart Watch"/>
    <s v="Tech99"/>
    <d v="2026-01-14T00:00:00"/>
    <n v="6"/>
    <n v="980"/>
    <n v="588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m/>
    <x v="0"/>
    <m/>
    <s v=""/>
    <m/>
    <s v=""/>
    <m/>
    <s v=""/>
    <s v=""/>
  </r>
  <r>
    <n v="100"/>
    <x v="1"/>
    <s v="N1001"/>
    <s v="Smart Watch"/>
    <d v="2026-01-01T00:00:00"/>
    <n v="10"/>
    <n v="2"/>
    <n v="1176"/>
    <n v="2352"/>
  </r>
  <r>
    <n v="101"/>
    <x v="2"/>
    <s v="N1002"/>
    <s v="Laptop HP xyz i5"/>
    <d v="2026-01-02T00:00:00"/>
    <n v="1"/>
    <n v="0"/>
    <n v="41400"/>
    <n v="0"/>
  </r>
  <r>
    <n v="102"/>
    <x v="3"/>
    <s v="N1003"/>
    <s v="Wireless Printer"/>
    <d v="2026-01-03T00:00:00"/>
    <n v="1"/>
    <n v="3"/>
    <n v="5520"/>
    <n v="16560"/>
  </r>
  <r>
    <n v="103"/>
    <x v="4"/>
    <s v="N1004"/>
    <s v="Desktop"/>
    <d v="2026-01-04T00:00:00"/>
    <n v="4"/>
    <n v="6"/>
    <n v="25200"/>
    <n v="151200"/>
  </r>
  <r>
    <n v="104"/>
    <x v="5"/>
    <s v="N1005"/>
    <s v="Mouse"/>
    <d v="2026-01-05T00:00:00"/>
    <n v="2"/>
    <n v="2"/>
    <n v="240"/>
    <n v="480"/>
  </r>
  <r>
    <n v="105"/>
    <x v="6"/>
    <s v="N1006"/>
    <s v="Rgb Keyboard"/>
    <d v="2026-01-06T00:00:00"/>
    <n v="4"/>
    <n v="6"/>
    <n v="408"/>
    <n v="2448"/>
  </r>
  <r>
    <n v="106"/>
    <x v="7"/>
    <s v="N1007"/>
    <s v="Camera"/>
    <d v="2026-01-07T00:00:00"/>
    <n v="12"/>
    <n v="1"/>
    <n v="62400"/>
    <n v="62400"/>
  </r>
  <r>
    <m/>
    <x v="0"/>
    <m/>
    <s v=""/>
    <m/>
    <s v=""/>
    <m/>
    <s v=""/>
    <s v=""/>
  </r>
  <r>
    <m/>
    <x v="0"/>
    <m/>
    <s v=""/>
    <m/>
    <s v=""/>
    <m/>
    <s v=""/>
    <s v=""/>
  </r>
  <r>
    <m/>
    <x v="0"/>
    <m/>
    <s v=""/>
    <m/>
    <s v=""/>
    <m/>
    <s v=""/>
    <s v=""/>
  </r>
  <r>
    <m/>
    <x v="0"/>
    <m/>
    <s v=""/>
    <m/>
    <s v=""/>
    <m/>
    <s v=""/>
    <s v=""/>
  </r>
  <r>
    <m/>
    <x v="0"/>
    <m/>
    <s v=""/>
    <m/>
    <s v=""/>
    <m/>
    <s v=""/>
    <s v=""/>
  </r>
  <r>
    <m/>
    <x v="0"/>
    <m/>
    <s v=""/>
    <m/>
    <s v=""/>
    <m/>
    <s v=""/>
    <s v=""/>
  </r>
  <r>
    <m/>
    <x v="0"/>
    <m/>
    <s v=""/>
    <m/>
    <s v=""/>
    <m/>
    <s v=""/>
    <s v=""/>
  </r>
  <r>
    <m/>
    <x v="0"/>
    <m/>
    <s v=""/>
    <m/>
    <s v=""/>
    <m/>
    <s v=""/>
    <s v=""/>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m/>
    <x v="0"/>
    <s v=""/>
    <m/>
    <m/>
    <m/>
    <s v=""/>
    <s v=""/>
    <m/>
  </r>
  <r>
    <s v="N1001"/>
    <x v="1"/>
    <n v="980"/>
    <n v="12"/>
    <n v="2"/>
    <n v="10"/>
    <n v="9800"/>
    <s v="📞9812xxxxxx"/>
    <s v="In Stock"/>
  </r>
  <r>
    <s v="N1002"/>
    <x v="2"/>
    <n v="34500"/>
    <n v="1"/>
    <n v="0"/>
    <n v="1"/>
    <n v="34500"/>
    <s v="📞9812xxxxxx"/>
    <s v="Low Stock"/>
  </r>
  <r>
    <s v="N1003"/>
    <x v="3"/>
    <n v="4600"/>
    <n v="4"/>
    <n v="3"/>
    <n v="1"/>
    <n v="4600"/>
    <s v="📞9812xxxxxx"/>
    <s v="Low Stock"/>
  </r>
  <r>
    <s v="N1004"/>
    <x v="4"/>
    <n v="21000"/>
    <n v="10"/>
    <n v="6"/>
    <n v="4"/>
    <n v="84000"/>
    <s v="📞9813xxxxxx"/>
    <s v="Low Stock"/>
  </r>
  <r>
    <s v="N1005"/>
    <x v="5"/>
    <n v="200"/>
    <n v="4"/>
    <n v="2"/>
    <n v="2"/>
    <n v="400"/>
    <s v="📞9813xxxxxx"/>
    <s v="Low Stock"/>
  </r>
  <r>
    <s v="N1006"/>
    <x v="6"/>
    <n v="340"/>
    <n v="10"/>
    <n v="6"/>
    <n v="4"/>
    <n v="1360"/>
    <s v="📞9813xxxxxx"/>
    <s v="Low Stock"/>
  </r>
  <r>
    <s v="N1007"/>
    <x v="7"/>
    <n v="52000"/>
    <n v="13"/>
    <n v="1"/>
    <n v="12"/>
    <n v="624000"/>
    <s v="📞9813xxxxxx"/>
    <s v="In Stock"/>
  </r>
  <r>
    <s v="N1008"/>
    <x v="8"/>
    <n v="799"/>
    <n v="12"/>
    <n v="0"/>
    <n v="12"/>
    <n v="9588"/>
    <s v="📞9814xxxxxx"/>
    <s v="In Stock"/>
  </r>
  <r>
    <s v="N1009"/>
    <x v="9"/>
    <n v="670"/>
    <n v="10"/>
    <n v="0"/>
    <n v="10"/>
    <n v="6700"/>
    <s v="📞9814xxxxxx"/>
    <s v="In Stock"/>
  </r>
  <r>
    <s v="N1010"/>
    <x v="10"/>
    <n v="23500"/>
    <n v="2"/>
    <n v="0"/>
    <n v="2"/>
    <n v="47000"/>
    <s v="📞9814xxxxxx"/>
    <s v="Low Stoc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01CD54-AB2B-4888-BFC8-258CA8363CA7}"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L2:M14" firstHeaderRow="1" firstDataRow="1" firstDataCol="1"/>
  <pivotFields count="9">
    <pivotField showAll="0"/>
    <pivotField axis="axisRow" showAll="0">
      <items count="12">
        <item x="7"/>
        <item x="4"/>
        <item x="8"/>
        <item x="2"/>
        <item x="5"/>
        <item x="6"/>
        <item x="1"/>
        <item x="9"/>
        <item x="10"/>
        <item x="3"/>
        <item x="0"/>
        <item t="default"/>
      </items>
    </pivotField>
    <pivotField showAll="0"/>
    <pivotField showAll="0"/>
    <pivotField showAll="0"/>
    <pivotField dataField="1" showAll="0"/>
    <pivotField showAll="0"/>
    <pivotField showAll="0"/>
    <pivotField showAll="0"/>
  </pivotFields>
  <rowFields count="1">
    <field x="1"/>
  </rowFields>
  <rowItems count="12">
    <i>
      <x/>
    </i>
    <i>
      <x v="1"/>
    </i>
    <i>
      <x v="2"/>
    </i>
    <i>
      <x v="3"/>
    </i>
    <i>
      <x v="4"/>
    </i>
    <i>
      <x v="5"/>
    </i>
    <i>
      <x v="6"/>
    </i>
    <i>
      <x v="7"/>
    </i>
    <i>
      <x v="8"/>
    </i>
    <i>
      <x v="9"/>
    </i>
    <i>
      <x v="10"/>
    </i>
    <i t="grand">
      <x/>
    </i>
  </rowItems>
  <colItems count="1">
    <i/>
  </colItems>
  <dataFields count="1">
    <dataField name="Sum of Stock" fld="5"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13FAD6-08DE-4FCF-BE23-BC5DDD313397}"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A19" firstHeaderRow="1" firstDataRow="1" firstDataCol="0"/>
  <pivotFields count="9">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Sum of Stock Am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FF34C8-5341-4EF2-8ACA-314819A5A78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4">
    <pivotField showAll="0"/>
    <pivotField dataField="1" showAll="0"/>
    <pivotField showAll="0"/>
    <pivotField showAll="0"/>
  </pivotFields>
  <rowItems count="1">
    <i/>
  </rowItems>
  <colItems count="1">
    <i/>
  </colItems>
  <dataFields count="1">
    <dataField name="Count of Product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6BB3D9-DC33-46AE-9DAE-B489309A4DEF}"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7">
    <pivotField showAll="0"/>
    <pivotField showAll="0"/>
    <pivotField showAll="0"/>
    <pivotField showAll="0"/>
    <pivotField showAll="0"/>
    <pivotField showAll="0"/>
    <pivotField dataField="1" showAll="0"/>
  </pivotFields>
  <rowItems count="1">
    <i/>
  </rowItems>
  <colItems count="1">
    <i/>
  </colItems>
  <dataFields count="1">
    <dataField name="Sum of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68151E-B536-4690-BDAB-07B6FABD6852}"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2:H8" firstHeaderRow="1" firstDataRow="1" firstDataCol="1"/>
  <pivotFields count="9">
    <pivotField showAll="0"/>
    <pivotField axis="axisRow" showAll="0" measureFilter="1" sortType="descending">
      <items count="12">
        <item x="7"/>
        <item x="4"/>
        <item x="8"/>
        <item x="2"/>
        <item x="5"/>
        <item x="6"/>
        <item x="1"/>
        <item x="9"/>
        <item x="10"/>
        <item x="3"/>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s>
  <rowFields count="1">
    <field x="1"/>
  </rowFields>
  <rowItems count="6">
    <i>
      <x v="1"/>
    </i>
    <i>
      <x v="5"/>
    </i>
    <i>
      <x v="9"/>
    </i>
    <i>
      <x v="4"/>
    </i>
    <i>
      <x v="6"/>
    </i>
    <i t="grand">
      <x/>
    </i>
  </rowItems>
  <colItems count="1">
    <i/>
  </colItems>
  <dataFields count="1">
    <dataField name="Sum of S Units" fld="4"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3593D9-2768-46AE-8E94-C4E449017746}"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16:H22" firstHeaderRow="1" firstDataRow="1" firstDataCol="1"/>
  <pivotFields count="9">
    <pivotField showAll="0"/>
    <pivotField axis="axisRow" showAll="0" measureFilter="1" sortType="descending">
      <items count="9">
        <item x="0"/>
        <item x="4"/>
        <item x="6"/>
        <item x="2"/>
        <item x="7"/>
        <item x="3"/>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s>
  <rowFields count="1">
    <field x="1"/>
  </rowFields>
  <rowItems count="6">
    <i>
      <x v="1"/>
    </i>
    <i>
      <x v="4"/>
    </i>
    <i>
      <x v="5"/>
    </i>
    <i>
      <x v="2"/>
    </i>
    <i>
      <x v="7"/>
    </i>
    <i t="grand">
      <x/>
    </i>
  </rowItems>
  <colItems count="1">
    <i/>
  </colItems>
  <dataFields count="1">
    <dataField name="Sum of Amount" fld="8" baseField="1"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E0405E3-AB2A-4222-8B80-11B3A4CC53D5}"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15" firstHeaderRow="1" firstDataRow="1" firstDataCol="0"/>
  <pivotFields count="9">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Sum of 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1659D7D-AE11-41A1-840B-67129026B9A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4">
    <pivotField showAll="0"/>
    <pivotField dataField="1" showAll="0"/>
    <pivotField showAll="0"/>
    <pivotField showAll="0"/>
  </pivotFields>
  <rowItems count="1">
    <i/>
  </rowItems>
  <colItems count="1">
    <i/>
  </colItems>
  <dataFields count="1">
    <dataField name="Count of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9A0C7CAB-6A13-4D6A-A4E1-0BBF1141A574}" sourceName="Name">
  <extLst>
    <x:ext xmlns:x15="http://schemas.microsoft.com/office/spreadsheetml/2010/11/main" uri="{2F2917AC-EB37-4324-AD4E-5DD8C200BD13}">
      <x15:tableSlicerCache tableId="4"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8E2779BF-1167-481D-A0A4-68570815C651}" sourceName="Product Name">
  <extLst>
    <x:ext xmlns:x15="http://schemas.microsoft.com/office/spreadsheetml/2010/11/main" uri="{2F2917AC-EB37-4324-AD4E-5DD8C200BD13}">
      <x15:tableSlicerCache tableId="5"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dor_Name" xr10:uid="{58C75E3B-5B8C-4001-B70D-169F1E985057}" sourceName="Vendor Name">
  <extLst>
    <x:ext xmlns:x15="http://schemas.microsoft.com/office/spreadsheetml/2010/11/main" uri="{2F2917AC-EB37-4324-AD4E-5DD8C200BD13}">
      <x15:tableSlicerCache tableId="6"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FCDA6D6E-FBF7-41C3-BB51-30090357EDCC}" cache="Slicer_Name" caption="Name" columnCount="3" rowHeight="234950"/>
  <slicer name="Product Name" xr10:uid="{A8A6912A-1815-469B-B002-B8639045B8D3}" cache="Slicer_Product_Name" caption="Product Name" columnCount="5" rowHeight="180000"/>
  <slicer name="Vendor Name" xr10:uid="{FEF2D514-8098-4F72-8EB4-4124FD06CACB}" cache="Slicer_Vendor_Name" caption="Vendor Name" columnCoun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D61ACF6-BB60-4395-B160-B9FAFF9048CF}" name="customersdata" displayName="customersdata" ref="D8:G15" totalsRowShown="0" headerRowDxfId="49" dataDxfId="48">
  <autoFilter ref="D8:G15" xr:uid="{CD61ACF6-BB60-4395-B160-B9FAFF9048CF}"/>
  <tableColumns count="4">
    <tableColumn id="2" xr3:uid="{65C9AC0B-8908-44AE-A12E-3D6BFE5B4956}" name="Cust_ID" dataDxfId="47"/>
    <tableColumn id="4" xr3:uid="{EDE1B87F-95E9-4585-9369-0E247EB04E7D}" name="Name" dataDxfId="46"/>
    <tableColumn id="6" xr3:uid="{7381F2C8-CCCE-4094-96CD-1FA01B22E193}" name="Email" dataDxfId="45"/>
    <tableColumn id="8" xr3:uid="{297EAC4C-0093-4292-8C71-B0C15EAB3D71}" name="Adress" dataDxfId="44"/>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598C6BE-D099-43D6-914C-7760BAB99221}" name="productsdata" displayName="productsdata" ref="D9:G20" totalsRowShown="0" headerRowDxfId="43" dataDxfId="42">
  <autoFilter ref="D9:G20" xr:uid="{2598C6BE-D099-43D6-914C-7760BAB99221}">
    <filterColumn colId="1">
      <filters>
        <filter val="Laptop HP xyz i5"/>
      </filters>
    </filterColumn>
  </autoFilter>
  <tableColumns count="4">
    <tableColumn id="1" xr3:uid="{2CB144E3-3A22-46A3-A427-1B6BDE26F145}" name="HSN Code" dataDxfId="41"/>
    <tableColumn id="2" xr3:uid="{60FFC278-F6CC-480B-8F43-458FF9A719F5}" name="Product Name" dataDxfId="40"/>
    <tableColumn id="3" xr3:uid="{9D768143-81E5-4407-BD2C-C2CCC981EA7C}" name="Cost" dataDxfId="39"/>
    <tableColumn id="4" xr3:uid="{EE656331-3318-4B22-9F6B-C0E6E247D43D}" name="Selling Price" dataDxfId="38"/>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19DA739-5505-4612-AA80-AD23A281CCB8}" name="vendorsdata" displayName="vendorsdata" ref="D9:H20" totalsRowShown="0" headerRowDxfId="37" dataDxfId="36">
  <autoFilter ref="D9:H20" xr:uid="{619DA739-5505-4612-AA80-AD23A281CCB8}"/>
  <tableColumns count="5">
    <tableColumn id="1" xr3:uid="{C6E64BD0-1E00-484F-B2C2-CA3779CFE98E}" name="HSN Code" dataDxfId="35"/>
    <tableColumn id="2" xr3:uid="{7E8772C9-5E1E-4189-A513-98C6A4293761}" name="Product Name" dataDxfId="34"/>
    <tableColumn id="3" xr3:uid="{A3F25239-6367-4046-A557-D5D50D4C352F}" name="Vendor Name" dataDxfId="33"/>
    <tableColumn id="4" xr3:uid="{DF5029C0-0BFC-4C9E-AC40-F424C20475B5}" name="Phone" dataDxfId="32"/>
    <tableColumn id="5" xr3:uid="{642281B4-D9F6-4CC1-B058-3518504D2FE2}" name="Address" dataDxfId="31"/>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4BA53E6-7EE3-4F07-B362-BF0FD33C96F4}" name="purchasedata" displayName="purchasedata" ref="D9:J24" totalsRowShown="0" headerRowDxfId="30" dataDxfId="29">
  <autoFilter ref="D9:J24" xr:uid="{F4BA53E6-7EE3-4F07-B362-BF0FD33C96F4}"/>
  <tableColumns count="7">
    <tableColumn id="1" xr3:uid="{4C023333-09DA-47EB-9ACB-F31F696E2769}" name="HSN Code" dataDxfId="28"/>
    <tableColumn id="2" xr3:uid="{BB9265AA-8F9F-49B0-B0FA-53EEBAD52E43}" name="Product Name" dataDxfId="27">
      <calculatedColumnFormula>IFERROR(VLOOKUP(purchasedata[[#This Row],[HSN Code]],productsdata[#All],2,0),"")</calculatedColumnFormula>
    </tableColumn>
    <tableColumn id="3" xr3:uid="{2441FE0A-8427-40F7-8F9D-971B71A187C9}" name="Vendor" dataDxfId="26">
      <calculatedColumnFormula>IFERROR(VLOOKUP(purchasedata[[#This Row],[HSN Code]],vendorsdata[#All],3,0),"")</calculatedColumnFormula>
    </tableColumn>
    <tableColumn id="4" xr3:uid="{37E6C1E7-3D4E-4F13-A3F6-D62CFE0CC98F}" name="Date" dataDxfId="25"/>
    <tableColumn id="5" xr3:uid="{3028E2C3-F72A-4BE3-881B-BEEFB12941B9}" name="Units" dataDxfId="24"/>
    <tableColumn id="6" xr3:uid="{F4BBB277-C0D5-45A7-82C3-6C91A5FCEA28}" name="Cost" dataDxfId="23">
      <calculatedColumnFormula>IFERROR(VLOOKUP(purchasedata[[#This Row],[HSN Code]],productsdata[#All],3,0),"")</calculatedColumnFormula>
    </tableColumn>
    <tableColumn id="7" xr3:uid="{D2223702-1001-4278-BCF1-205FE7765F90}" name="Amount" dataDxfId="22">
      <calculatedColumnFormula>IFERROR(purchasedata[[#This Row],[Units]]*purchasedata[[#This Row],[Cost]],"")</calculatedColumnFormula>
    </tableColum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44E89D4-D7CD-4AFF-8EDB-921EFFDABDE0}" name="salesdata" displayName="salesdata" ref="D9:L25" totalsRowShown="0" headerRowDxfId="21" dataDxfId="20">
  <autoFilter ref="D9:L25" xr:uid="{B44E89D4-D7CD-4AFF-8EDB-921EFFDABDE0}"/>
  <tableColumns count="9">
    <tableColumn id="1" xr3:uid="{F9FEF71C-29C3-483F-924A-7D73844A6B66}" name="Cust_ID" dataDxfId="19"/>
    <tableColumn id="2" xr3:uid="{04D4DE70-CD39-4973-BFD6-10CC85311DCC}" name="Cust_Name" dataDxfId="18">
      <calculatedColumnFormula>IFERROR(VLOOKUP(salesdata[[#This Row],[Cust_ID]],customersdata[#All],2,0),"")</calculatedColumnFormula>
    </tableColumn>
    <tableColumn id="3" xr3:uid="{D4B946CD-D6AC-4859-A9FA-72420A2A4F53}" name="HSN Code" dataDxfId="17"/>
    <tableColumn id="4" xr3:uid="{0A58CE45-3635-4CE3-8F2F-DB2725F3C973}" name="Product Name" dataDxfId="16">
      <calculatedColumnFormula>IFERROR(VLOOKUP(salesdata[[#This Row],[HSN Code]],productsdata[#All],2,0),"")</calculatedColumnFormula>
    </tableColumn>
    <tableColumn id="5" xr3:uid="{F1A60BCA-8DE7-46C7-88FE-61AE06677D87}" name="Date" dataDxfId="15"/>
    <tableColumn id="6" xr3:uid="{0C16859A-2EB2-4E4E-8ED0-2D76D49FE0C5}" name="Stocks(Units)" dataDxfId="14">
      <calculatedColumnFormula>IFERROR(VLOOKUP(salesdata[[#This Row],[HSN Code]],inventorydata[#All],6,0),"")</calculatedColumnFormula>
    </tableColumn>
    <tableColumn id="7" xr3:uid="{89CA0770-1902-40CD-BBCC-4806E61E4ED4}" name="Units" dataDxfId="13"/>
    <tableColumn id="8" xr3:uid="{B8DBFE07-B1B4-4716-B99E-4FBE32806A9D}" name="Price" dataDxfId="12">
      <calculatedColumnFormula>IFERROR(VLOOKUP(salesdata[[#This Row],[HSN Code]],productsdata[#All],4,0),"")</calculatedColumnFormula>
    </tableColumn>
    <tableColumn id="9" xr3:uid="{A33FF066-4B74-4A59-AD17-7E9CB723A35A}" name="Amount" dataDxfId="11">
      <calculatedColumnFormula>IFERROR(salesdata[[#This Row],[Units]]*salesdata[[#This Row],[Price]],"")</calculatedColumnFormula>
    </tableColum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5452D38-E3A1-4B34-BB8E-85DA90A02CC3}" name="inventorydata" displayName="inventorydata" ref="D9:L20" totalsRowShown="0" headerRowDxfId="10" dataDxfId="9">
  <autoFilter ref="D9:L20" xr:uid="{35452D38-E3A1-4B34-BB8E-85DA90A02CC3}"/>
  <tableColumns count="9">
    <tableColumn id="1" xr3:uid="{1E8A568A-7366-4026-993B-4A5D2714A503}" name="HSN Code" dataDxfId="8">
      <calculatedColumnFormula>IFERROR(purchasedata[[#This Row],[HSN Code]],"")</calculatedColumnFormula>
    </tableColumn>
    <tableColumn id="2" xr3:uid="{50E0F5FA-6E0A-4561-BB00-9BEE8388681E}" name="Product Name" dataDxfId="7">
      <calculatedColumnFormula>IFERROR(purchasedata[[#This Row],[Product Name]],"")</calculatedColumnFormula>
    </tableColumn>
    <tableColumn id="3" xr3:uid="{7D23B062-8457-452F-8B1C-B4B927EB0556}" name="Cost" dataDxfId="6">
      <calculatedColumnFormula>IFERROR(VLOOKUP(purchasedata[[#This Row],[HSN Code]],productsdata[#All],3,0),"")</calculatedColumnFormula>
    </tableColumn>
    <tableColumn id="4" xr3:uid="{D7EE8276-15F6-415C-A6C1-F92AB4BC7403}" name="P Units" dataDxfId="5">
      <calculatedColumnFormula>IFERROR(SUMIF(Purchase!E10:E19,inventorydata[[#This Row],[Product Name]],Purchase!H10:H19),"")</calculatedColumnFormula>
    </tableColumn>
    <tableColumn id="5" xr3:uid="{8E23FB80-00D2-49C6-921F-0872E4A149E6}" name="S Units" dataDxfId="4">
      <calculatedColumnFormula>IFERROR(SUMIF(Sales!G10:G16,inventorydata[[#This Row],[Product Name]],Sales!J10:J16),"")</calculatedColumnFormula>
    </tableColumn>
    <tableColumn id="6" xr3:uid="{9090CE76-2841-4AB0-A701-CD249B3FAFD8}" name="Stock" dataDxfId="3">
      <calculatedColumnFormula>IFERROR(inventorydata[[#This Row],[P Units]]-inventorydata[[#This Row],[S Units]],"")</calculatedColumnFormula>
    </tableColumn>
    <tableColumn id="7" xr3:uid="{3CA8D1D2-381B-4F43-89C1-829F80D49C00}" name="Stock Amt" dataDxfId="2">
      <calculatedColumnFormula>IFERROR(inventorydata[[#This Row],[Cost]]*inventorydata[[#This Row],[Stock]],"")</calculatedColumnFormula>
    </tableColumn>
    <tableColumn id="8" xr3:uid="{386A58F7-B32A-4490-89A9-7D3365D77740}" name="Notification" dataDxfId="1">
      <calculatedColumnFormula>IFERROR(VLOOKUP(inventorydata[[#This Row],[HSN Code]],vendorsdata[#All],4,0),"")</calculatedColumnFormula>
    </tableColumn>
    <tableColumn id="9" xr3:uid="{7F7C0772-F72B-4987-B8EB-68A5930BB007}" name="Inventory" dataDxfId="0">
      <calculatedColumnFormula>IFERROR(IF(inventorydata[[#This Row],[Stock]]&gt;=10,"In Stock","Low Stock"), " ")</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D3153-F60E-4080-8DF4-118C1F2F1D87}">
  <dimension ref="B2:V32"/>
  <sheetViews>
    <sheetView showGridLines="0" showRowColHeaders="0" workbookViewId="0">
      <selection activeCell="A2" sqref="A2"/>
    </sheetView>
  </sheetViews>
  <sheetFormatPr defaultRowHeight="14.4" x14ac:dyDescent="0.3"/>
  <cols>
    <col min="1" max="1" width="6.109375" style="1" customWidth="1"/>
    <col min="2" max="2" width="23.5546875" style="1" customWidth="1"/>
    <col min="3" max="3" width="6.5546875" style="1" customWidth="1"/>
    <col min="4" max="14" width="8.88671875" style="1"/>
    <col min="15" max="15" width="16.6640625" style="1" customWidth="1"/>
    <col min="16" max="20" width="8.88671875" style="1"/>
    <col min="21" max="21" width="7.33203125" style="1" customWidth="1"/>
    <col min="22" max="16384" width="8.88671875" style="1"/>
  </cols>
  <sheetData>
    <row r="2" spans="2:22" x14ac:dyDescent="0.3">
      <c r="B2" s="2"/>
    </row>
    <row r="3" spans="2:22" x14ac:dyDescent="0.3">
      <c r="B3" s="2"/>
    </row>
    <row r="4" spans="2:22" x14ac:dyDescent="0.3">
      <c r="B4" s="2"/>
    </row>
    <row r="5" spans="2:22" x14ac:dyDescent="0.3">
      <c r="B5" s="2"/>
    </row>
    <row r="6" spans="2:22" x14ac:dyDescent="0.3">
      <c r="B6" s="2"/>
    </row>
    <row r="7" spans="2:22" x14ac:dyDescent="0.3">
      <c r="B7" s="2"/>
    </row>
    <row r="8" spans="2:22" x14ac:dyDescent="0.3">
      <c r="B8" s="2"/>
    </row>
    <row r="9" spans="2:22" x14ac:dyDescent="0.3">
      <c r="B9" s="2"/>
    </row>
    <row r="10" spans="2:22" x14ac:dyDescent="0.3">
      <c r="B10" s="2"/>
    </row>
    <row r="11" spans="2:22" x14ac:dyDescent="0.3">
      <c r="B11" s="2"/>
    </row>
    <row r="12" spans="2:22" x14ac:dyDescent="0.3">
      <c r="B12" s="2"/>
    </row>
    <row r="13" spans="2:22" x14ac:dyDescent="0.3">
      <c r="B13" s="2"/>
    </row>
    <row r="14" spans="2:22" x14ac:dyDescent="0.3">
      <c r="B14" s="2"/>
      <c r="O14" s="8"/>
      <c r="P14" s="7"/>
      <c r="Q14" s="7"/>
      <c r="R14" s="7"/>
      <c r="S14" s="7"/>
      <c r="T14" s="7"/>
      <c r="U14" s="7"/>
      <c r="V14" s="7"/>
    </row>
    <row r="15" spans="2:22" ht="23.4" x14ac:dyDescent="0.45">
      <c r="B15" s="2"/>
      <c r="O15" s="9" t="s">
        <v>89</v>
      </c>
      <c r="P15" s="7"/>
      <c r="Q15" s="7"/>
      <c r="R15" s="7"/>
      <c r="S15" s="7"/>
      <c r="T15" s="7"/>
      <c r="U15" s="7"/>
      <c r="V15" s="7"/>
    </row>
    <row r="16" spans="2:22" x14ac:dyDescent="0.3">
      <c r="B16" s="2"/>
      <c r="O16" s="2"/>
      <c r="P16" s="2"/>
      <c r="Q16" s="2"/>
      <c r="R16" s="2"/>
      <c r="S16" s="2"/>
      <c r="T16" s="2"/>
      <c r="U16" s="2"/>
      <c r="V16" s="2"/>
    </row>
    <row r="17" spans="2:22" x14ac:dyDescent="0.3">
      <c r="B17" s="2"/>
      <c r="O17" s="2"/>
      <c r="P17" s="2"/>
      <c r="Q17" s="2"/>
      <c r="R17" s="2"/>
      <c r="S17" s="2"/>
      <c r="T17" s="2"/>
      <c r="U17" s="2"/>
      <c r="V17" s="2"/>
    </row>
    <row r="18" spans="2:22" x14ac:dyDescent="0.3">
      <c r="B18" s="2"/>
      <c r="O18" s="10" t="str" cm="1">
        <f t="array" ref="O18:O27">_xlfn._xlws.FILTER(Inventory!K11:K20,Inventory!K11:K20&lt;&gt;"")</f>
        <v>📞9812xxxxxx</v>
      </c>
      <c r="P18" s="2"/>
      <c r="Q18" s="2"/>
      <c r="R18" s="2"/>
      <c r="S18" s="2"/>
      <c r="T18" s="2"/>
      <c r="U18" s="2"/>
      <c r="V18" s="2"/>
    </row>
    <row r="19" spans="2:22" x14ac:dyDescent="0.3">
      <c r="B19" s="2"/>
      <c r="O19" s="10" t="str">
        <v>📞9812xxxxxx</v>
      </c>
      <c r="P19" s="2"/>
      <c r="Q19" s="2"/>
      <c r="R19" s="2"/>
      <c r="S19" s="2"/>
      <c r="T19" s="2"/>
      <c r="U19" s="2"/>
      <c r="V19" s="2"/>
    </row>
    <row r="20" spans="2:22" x14ac:dyDescent="0.3">
      <c r="B20" s="2"/>
      <c r="O20" s="10" t="str">
        <v>📞9812xxxxxx</v>
      </c>
      <c r="P20" s="2"/>
      <c r="Q20" s="2"/>
      <c r="R20" s="2"/>
      <c r="S20" s="2"/>
      <c r="T20" s="2"/>
      <c r="U20" s="2"/>
      <c r="V20" s="2"/>
    </row>
    <row r="21" spans="2:22" x14ac:dyDescent="0.3">
      <c r="B21" s="2"/>
      <c r="O21" s="10" t="str">
        <v>📞9813xxxxxx</v>
      </c>
      <c r="P21" s="2"/>
      <c r="Q21" s="2"/>
      <c r="R21" s="2"/>
      <c r="S21" s="2"/>
      <c r="T21" s="2"/>
      <c r="U21" s="2"/>
      <c r="V21" s="2"/>
    </row>
    <row r="22" spans="2:22" x14ac:dyDescent="0.3">
      <c r="B22" s="2"/>
      <c r="O22" s="10" t="str">
        <v>📞9813xxxxxx</v>
      </c>
      <c r="P22" s="2"/>
      <c r="Q22" s="2"/>
      <c r="R22" s="2"/>
      <c r="S22" s="2"/>
      <c r="T22" s="2"/>
      <c r="U22" s="2"/>
      <c r="V22" s="2"/>
    </row>
    <row r="23" spans="2:22" x14ac:dyDescent="0.3">
      <c r="B23" s="2"/>
      <c r="O23" s="10" t="str">
        <v>📞9813xxxxxx</v>
      </c>
      <c r="P23" s="2"/>
      <c r="Q23" s="2"/>
      <c r="R23" s="2"/>
      <c r="S23" s="2"/>
      <c r="T23" s="2"/>
      <c r="U23" s="2"/>
      <c r="V23" s="2"/>
    </row>
    <row r="24" spans="2:22" x14ac:dyDescent="0.3">
      <c r="B24" s="2"/>
      <c r="O24" s="10" t="str">
        <v>📞9813xxxxxx</v>
      </c>
      <c r="P24" s="2"/>
      <c r="Q24" s="2"/>
      <c r="R24" s="2"/>
      <c r="S24" s="2"/>
      <c r="T24" s="2"/>
      <c r="U24" s="2"/>
      <c r="V24" s="2"/>
    </row>
    <row r="25" spans="2:22" x14ac:dyDescent="0.3">
      <c r="B25" s="2"/>
      <c r="O25" s="10" t="str">
        <v>📞9814xxxxxx</v>
      </c>
      <c r="P25" s="2"/>
      <c r="Q25" s="2"/>
      <c r="R25" s="2"/>
      <c r="S25" s="2"/>
      <c r="T25" s="2"/>
      <c r="U25" s="2"/>
      <c r="V25" s="2"/>
    </row>
    <row r="26" spans="2:22" x14ac:dyDescent="0.3">
      <c r="B26" s="2"/>
      <c r="O26" s="10" t="str">
        <v>📞9814xxxxxx</v>
      </c>
      <c r="P26" s="2"/>
      <c r="Q26" s="2"/>
      <c r="R26" s="2"/>
      <c r="S26" s="2"/>
      <c r="T26" s="2"/>
      <c r="U26" s="2"/>
      <c r="V26" s="2"/>
    </row>
    <row r="27" spans="2:22" x14ac:dyDescent="0.3">
      <c r="B27" s="2"/>
      <c r="O27" s="10" t="str">
        <v>📞9814xxxxxx</v>
      </c>
      <c r="P27" s="2"/>
      <c r="Q27" s="2"/>
      <c r="R27" s="2"/>
      <c r="S27" s="2"/>
      <c r="T27" s="2"/>
      <c r="U27" s="2"/>
      <c r="V27" s="2"/>
    </row>
    <row r="28" spans="2:22" x14ac:dyDescent="0.3">
      <c r="B28" s="2"/>
      <c r="O28" s="2"/>
      <c r="P28" s="2"/>
      <c r="Q28" s="2"/>
      <c r="R28" s="2"/>
      <c r="S28" s="2"/>
      <c r="T28" s="2"/>
      <c r="U28" s="2"/>
      <c r="V28" s="2"/>
    </row>
    <row r="29" spans="2:22" x14ac:dyDescent="0.3">
      <c r="B29" s="2"/>
      <c r="O29" s="2"/>
      <c r="P29" s="2"/>
      <c r="Q29" s="2"/>
      <c r="R29" s="2"/>
      <c r="S29" s="2"/>
      <c r="T29" s="2"/>
      <c r="U29" s="2"/>
      <c r="V29" s="2"/>
    </row>
    <row r="30" spans="2:22" x14ac:dyDescent="0.3">
      <c r="B30" s="2"/>
      <c r="O30" s="2"/>
      <c r="P30" s="2"/>
      <c r="Q30" s="2"/>
      <c r="R30" s="2"/>
      <c r="S30" s="2"/>
      <c r="T30" s="2"/>
      <c r="U30" s="2"/>
      <c r="V30" s="2"/>
    </row>
    <row r="31" spans="2:22" x14ac:dyDescent="0.3">
      <c r="B31" s="2"/>
      <c r="O31" s="2"/>
      <c r="P31" s="2"/>
      <c r="Q31" s="2"/>
      <c r="R31" s="2"/>
      <c r="S31" s="2"/>
      <c r="T31" s="2"/>
      <c r="U31" s="2"/>
      <c r="V31" s="2"/>
    </row>
    <row r="32" spans="2:22" x14ac:dyDescent="0.3">
      <c r="B32" s="2"/>
      <c r="O32" s="2"/>
      <c r="P32" s="2"/>
      <c r="Q32" s="2"/>
      <c r="R32" s="2"/>
      <c r="S32" s="2"/>
      <c r="T32" s="2"/>
      <c r="U32" s="2"/>
      <c r="V32" s="2"/>
    </row>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09F11-3AEA-4E6D-AD99-C7480311CAEC}">
  <dimension ref="B2:K27"/>
  <sheetViews>
    <sheetView workbookViewId="0"/>
  </sheetViews>
  <sheetFormatPr defaultRowHeight="14.4" x14ac:dyDescent="0.3"/>
  <cols>
    <col min="1" max="1" width="6.109375" style="1" customWidth="1"/>
    <col min="2" max="2" width="23.5546875" style="1" customWidth="1"/>
    <col min="3" max="3" width="7.109375" style="1" customWidth="1"/>
    <col min="4" max="4" width="19.6640625" style="1" customWidth="1"/>
    <col min="5" max="5" width="27.44140625" style="1" customWidth="1"/>
    <col min="6" max="6" width="34.44140625" style="1" customWidth="1"/>
    <col min="7" max="7" width="30.21875" style="1" customWidth="1"/>
    <col min="8" max="8" width="13.44140625" style="1" customWidth="1"/>
    <col min="9" max="9" width="10.44140625" style="1" customWidth="1"/>
    <col min="10" max="10" width="17.109375" style="1" customWidth="1"/>
    <col min="11" max="16384" width="8.88671875" style="1"/>
  </cols>
  <sheetData>
    <row r="2" spans="2:11" x14ac:dyDescent="0.3">
      <c r="B2" s="2"/>
    </row>
    <row r="3" spans="2:11" x14ac:dyDescent="0.3">
      <c r="B3" s="2"/>
    </row>
    <row r="4" spans="2:11" x14ac:dyDescent="0.3">
      <c r="B4" s="2"/>
    </row>
    <row r="5" spans="2:11" x14ac:dyDescent="0.3">
      <c r="B5" s="2"/>
    </row>
    <row r="6" spans="2:11" x14ac:dyDescent="0.3">
      <c r="B6" s="2"/>
    </row>
    <row r="7" spans="2:11" x14ac:dyDescent="0.3">
      <c r="B7" s="2"/>
      <c r="C7" s="3"/>
      <c r="D7" s="3"/>
      <c r="E7" s="3"/>
      <c r="F7" s="3"/>
      <c r="G7" s="3"/>
      <c r="H7" s="3"/>
      <c r="I7" s="3"/>
      <c r="J7" s="3"/>
      <c r="K7" s="3"/>
    </row>
    <row r="8" spans="2:11" ht="23.4" x14ac:dyDescent="0.45">
      <c r="B8" s="2"/>
      <c r="D8" s="13" t="s">
        <v>0</v>
      </c>
      <c r="E8" s="13" t="s">
        <v>1</v>
      </c>
      <c r="F8" s="13" t="s">
        <v>2</v>
      </c>
      <c r="G8" s="13" t="s">
        <v>25</v>
      </c>
    </row>
    <row r="9" spans="2:11" ht="23.4" x14ac:dyDescent="0.45">
      <c r="B9" s="2"/>
      <c r="D9" s="13">
        <v>100</v>
      </c>
      <c r="E9" s="13" t="s">
        <v>18</v>
      </c>
      <c r="F9" s="13" t="s">
        <v>4</v>
      </c>
      <c r="G9" s="13" t="s">
        <v>5</v>
      </c>
    </row>
    <row r="10" spans="2:11" ht="23.4" x14ac:dyDescent="0.45">
      <c r="B10" s="2"/>
      <c r="D10" s="13">
        <v>101</v>
      </c>
      <c r="E10" s="13" t="s">
        <v>19</v>
      </c>
      <c r="F10" s="13" t="s">
        <v>24</v>
      </c>
      <c r="G10" s="13" t="s">
        <v>6</v>
      </c>
    </row>
    <row r="11" spans="2:11" ht="23.4" x14ac:dyDescent="0.45">
      <c r="B11" s="2"/>
      <c r="D11" s="13">
        <v>102</v>
      </c>
      <c r="E11" s="13" t="s">
        <v>7</v>
      </c>
      <c r="F11" s="13" t="s">
        <v>8</v>
      </c>
      <c r="G11" s="13" t="s">
        <v>9</v>
      </c>
    </row>
    <row r="12" spans="2:11" ht="23.4" x14ac:dyDescent="0.45">
      <c r="B12" s="2"/>
      <c r="D12" s="13">
        <v>103</v>
      </c>
      <c r="E12" s="13" t="s">
        <v>10</v>
      </c>
      <c r="F12" s="13" t="s">
        <v>20</v>
      </c>
      <c r="G12" s="13" t="s">
        <v>11</v>
      </c>
    </row>
    <row r="13" spans="2:11" ht="23.4" x14ac:dyDescent="0.45">
      <c r="B13" s="2"/>
      <c r="D13" s="13">
        <v>104</v>
      </c>
      <c r="E13" s="13" t="s">
        <v>12</v>
      </c>
      <c r="F13" s="13" t="s">
        <v>21</v>
      </c>
      <c r="G13" s="13" t="s">
        <v>13</v>
      </c>
    </row>
    <row r="14" spans="2:11" ht="23.4" x14ac:dyDescent="0.45">
      <c r="B14" s="2"/>
      <c r="D14" s="13">
        <v>105</v>
      </c>
      <c r="E14" s="13" t="s">
        <v>14</v>
      </c>
      <c r="F14" s="13" t="s">
        <v>22</v>
      </c>
      <c r="G14" s="13" t="s">
        <v>26</v>
      </c>
    </row>
    <row r="15" spans="2:11" ht="23.4" x14ac:dyDescent="0.45">
      <c r="B15" s="2"/>
      <c r="D15" s="13">
        <v>106</v>
      </c>
      <c r="E15" s="13" t="s">
        <v>16</v>
      </c>
      <c r="F15" s="13" t="s">
        <v>23</v>
      </c>
      <c r="G15" s="13" t="s">
        <v>17</v>
      </c>
    </row>
    <row r="16" spans="2:11" x14ac:dyDescent="0.3">
      <c r="B16" s="2"/>
    </row>
    <row r="17" spans="2:2" x14ac:dyDescent="0.3">
      <c r="B17" s="2"/>
    </row>
    <row r="18" spans="2:2" x14ac:dyDescent="0.3">
      <c r="B18" s="2"/>
    </row>
    <row r="19" spans="2:2" x14ac:dyDescent="0.3">
      <c r="B19" s="2"/>
    </row>
    <row r="20" spans="2:2" x14ac:dyDescent="0.3">
      <c r="B20" s="2"/>
    </row>
    <row r="21" spans="2:2" x14ac:dyDescent="0.3">
      <c r="B21" s="2"/>
    </row>
    <row r="22" spans="2:2" x14ac:dyDescent="0.3">
      <c r="B22" s="2"/>
    </row>
    <row r="23" spans="2:2" x14ac:dyDescent="0.3">
      <c r="B23" s="2"/>
    </row>
    <row r="24" spans="2:2" x14ac:dyDescent="0.3">
      <c r="B24" s="2"/>
    </row>
    <row r="25" spans="2:2" x14ac:dyDescent="0.3">
      <c r="B25" s="2"/>
    </row>
    <row r="26" spans="2:2" x14ac:dyDescent="0.3">
      <c r="B26" s="2"/>
    </row>
    <row r="27" spans="2:2" x14ac:dyDescent="0.3">
      <c r="B27" s="2"/>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D2884-454C-488E-940F-2ECFC0E22408}">
  <dimension ref="B2:H36"/>
  <sheetViews>
    <sheetView tabSelected="1" workbookViewId="0">
      <selection activeCell="D35" sqref="D35"/>
    </sheetView>
  </sheetViews>
  <sheetFormatPr defaultRowHeight="14.4" x14ac:dyDescent="0.3"/>
  <cols>
    <col min="1" max="1" width="6.109375" style="1" customWidth="1"/>
    <col min="2" max="2" width="23.5546875" style="1" customWidth="1"/>
    <col min="3" max="3" width="7" style="1" customWidth="1"/>
    <col min="4" max="4" width="20.109375" style="1" customWidth="1"/>
    <col min="5" max="5" width="30.109375" style="1" customWidth="1"/>
    <col min="6" max="6" width="23.6640625" style="1" customWidth="1"/>
    <col min="7" max="7" width="22.6640625" style="1" customWidth="1"/>
    <col min="8" max="16384" width="8.88671875" style="1"/>
  </cols>
  <sheetData>
    <row r="2" spans="2:8" x14ac:dyDescent="0.3">
      <c r="B2" s="2"/>
    </row>
    <row r="3" spans="2:8" x14ac:dyDescent="0.3">
      <c r="B3" s="2"/>
    </row>
    <row r="4" spans="2:8" x14ac:dyDescent="0.3">
      <c r="B4" s="2"/>
    </row>
    <row r="5" spans="2:8" x14ac:dyDescent="0.3">
      <c r="B5" s="2"/>
    </row>
    <row r="6" spans="2:8" x14ac:dyDescent="0.3">
      <c r="B6" s="2"/>
    </row>
    <row r="7" spans="2:8" x14ac:dyDescent="0.3">
      <c r="B7" s="2"/>
    </row>
    <row r="8" spans="2:8" x14ac:dyDescent="0.3">
      <c r="B8" s="2"/>
      <c r="D8" s="3"/>
      <c r="E8" s="3"/>
      <c r="F8" s="3"/>
      <c r="G8" s="3"/>
      <c r="H8" s="3"/>
    </row>
    <row r="9" spans="2:8" ht="23.4" x14ac:dyDescent="0.45">
      <c r="B9" s="2"/>
      <c r="D9" s="13" t="s">
        <v>27</v>
      </c>
      <c r="E9" s="13" t="s">
        <v>38</v>
      </c>
      <c r="F9" s="13" t="s">
        <v>39</v>
      </c>
      <c r="G9" s="13" t="s">
        <v>40</v>
      </c>
      <c r="H9" s="3"/>
    </row>
    <row r="10" spans="2:8" ht="23.4" hidden="1" x14ac:dyDescent="0.45">
      <c r="B10" s="2"/>
      <c r="D10" s="13"/>
      <c r="E10" s="13"/>
      <c r="F10" s="13"/>
      <c r="G10" s="13"/>
      <c r="H10" s="3"/>
    </row>
    <row r="11" spans="2:8" ht="23.4" hidden="1" x14ac:dyDescent="0.45">
      <c r="B11" s="2"/>
      <c r="D11" s="13" t="s">
        <v>28</v>
      </c>
      <c r="E11" s="13" t="s">
        <v>41</v>
      </c>
      <c r="F11" s="13">
        <v>980</v>
      </c>
      <c r="G11" s="13">
        <v>1176</v>
      </c>
      <c r="H11" s="3"/>
    </row>
    <row r="12" spans="2:8" ht="23.4" x14ac:dyDescent="0.45">
      <c r="B12" s="2"/>
      <c r="D12" s="13" t="s">
        <v>29</v>
      </c>
      <c r="E12" s="13" t="s">
        <v>63</v>
      </c>
      <c r="F12" s="13">
        <v>34500</v>
      </c>
      <c r="G12" s="13">
        <v>41400</v>
      </c>
      <c r="H12" s="3"/>
    </row>
    <row r="13" spans="2:8" ht="23.4" hidden="1" x14ac:dyDescent="0.45">
      <c r="B13" s="2"/>
      <c r="D13" s="13" t="s">
        <v>30</v>
      </c>
      <c r="E13" s="13" t="s">
        <v>42</v>
      </c>
      <c r="F13" s="13">
        <v>4600</v>
      </c>
      <c r="G13" s="13">
        <v>5520</v>
      </c>
      <c r="H13" s="3"/>
    </row>
    <row r="14" spans="2:8" ht="23.4" hidden="1" x14ac:dyDescent="0.45">
      <c r="B14" s="2"/>
      <c r="D14" s="13" t="s">
        <v>31</v>
      </c>
      <c r="E14" s="13" t="s">
        <v>43</v>
      </c>
      <c r="F14" s="13">
        <v>21000</v>
      </c>
      <c r="G14" s="13">
        <v>25200</v>
      </c>
      <c r="H14" s="3"/>
    </row>
    <row r="15" spans="2:8" ht="23.4" hidden="1" x14ac:dyDescent="0.45">
      <c r="B15" s="2"/>
      <c r="D15" s="13" t="s">
        <v>32</v>
      </c>
      <c r="E15" s="13" t="s">
        <v>44</v>
      </c>
      <c r="F15" s="13">
        <v>200</v>
      </c>
      <c r="G15" s="13">
        <v>240</v>
      </c>
      <c r="H15" s="3"/>
    </row>
    <row r="16" spans="2:8" ht="23.4" hidden="1" x14ac:dyDescent="0.45">
      <c r="B16" s="2"/>
      <c r="D16" s="13" t="s">
        <v>33</v>
      </c>
      <c r="E16" s="13" t="s">
        <v>45</v>
      </c>
      <c r="F16" s="13">
        <v>340</v>
      </c>
      <c r="G16" s="13">
        <v>408</v>
      </c>
      <c r="H16" s="3"/>
    </row>
    <row r="17" spans="2:8" ht="23.4" hidden="1" x14ac:dyDescent="0.45">
      <c r="B17" s="2"/>
      <c r="D17" s="13" t="s">
        <v>34</v>
      </c>
      <c r="E17" s="13" t="s">
        <v>46</v>
      </c>
      <c r="F17" s="13">
        <v>52000</v>
      </c>
      <c r="G17" s="13">
        <v>62400</v>
      </c>
      <c r="H17" s="3"/>
    </row>
    <row r="18" spans="2:8" ht="23.4" hidden="1" x14ac:dyDescent="0.45">
      <c r="B18" s="2"/>
      <c r="D18" s="13" t="s">
        <v>35</v>
      </c>
      <c r="E18" s="13" t="s">
        <v>47</v>
      </c>
      <c r="F18" s="13">
        <v>799</v>
      </c>
      <c r="G18" s="13">
        <v>958.8</v>
      </c>
      <c r="H18" s="3"/>
    </row>
    <row r="19" spans="2:8" ht="23.4" hidden="1" x14ac:dyDescent="0.45">
      <c r="B19" s="2"/>
      <c r="D19" s="13" t="s">
        <v>36</v>
      </c>
      <c r="E19" s="13" t="s">
        <v>48</v>
      </c>
      <c r="F19" s="13">
        <v>670</v>
      </c>
      <c r="G19" s="13">
        <v>804</v>
      </c>
      <c r="H19" s="3"/>
    </row>
    <row r="20" spans="2:8" ht="23.4" hidden="1" x14ac:dyDescent="0.45">
      <c r="B20" s="2"/>
      <c r="D20" s="13" t="s">
        <v>37</v>
      </c>
      <c r="E20" s="13" t="s">
        <v>49</v>
      </c>
      <c r="F20" s="13">
        <v>23500</v>
      </c>
      <c r="G20" s="13">
        <v>28200</v>
      </c>
      <c r="H20" s="3"/>
    </row>
    <row r="21" spans="2:8" x14ac:dyDescent="0.3">
      <c r="B21" s="2"/>
    </row>
    <row r="22" spans="2:8" x14ac:dyDescent="0.3">
      <c r="B22" s="2"/>
    </row>
    <row r="23" spans="2:8" x14ac:dyDescent="0.3">
      <c r="B23" s="2"/>
    </row>
    <row r="24" spans="2:8" x14ac:dyDescent="0.3">
      <c r="B24" s="2"/>
    </row>
    <row r="25" spans="2:8" x14ac:dyDescent="0.3">
      <c r="B25" s="2"/>
    </row>
    <row r="26" spans="2:8" x14ac:dyDescent="0.3">
      <c r="B26" s="2"/>
    </row>
    <row r="27" spans="2:8" x14ac:dyDescent="0.3">
      <c r="B27" s="2"/>
    </row>
    <row r="28" spans="2:8" x14ac:dyDescent="0.3">
      <c r="B28" s="2"/>
    </row>
    <row r="29" spans="2:8" x14ac:dyDescent="0.3">
      <c r="B29" s="2"/>
    </row>
    <row r="30" spans="2:8" x14ac:dyDescent="0.3">
      <c r="B30" s="2"/>
    </row>
    <row r="31" spans="2:8" x14ac:dyDescent="0.3">
      <c r="B31" s="2"/>
    </row>
    <row r="32" spans="2:8" x14ac:dyDescent="0.3">
      <c r="B32" s="2"/>
    </row>
    <row r="33" spans="2:2" x14ac:dyDescent="0.3">
      <c r="B33" s="2"/>
    </row>
    <row r="34" spans="2:2" x14ac:dyDescent="0.3">
      <c r="B34" s="2"/>
    </row>
    <row r="35" spans="2:2" x14ac:dyDescent="0.3">
      <c r="B35" s="2"/>
    </row>
    <row r="36" spans="2:2" x14ac:dyDescent="0.3">
      <c r="B36" s="2"/>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0C213-383E-4634-8588-365A85E19B59}">
  <dimension ref="B2:H24"/>
  <sheetViews>
    <sheetView workbookViewId="0"/>
  </sheetViews>
  <sheetFormatPr defaultRowHeight="14.4" x14ac:dyDescent="0.3"/>
  <cols>
    <col min="1" max="1" width="6.109375" style="1" customWidth="1"/>
    <col min="2" max="2" width="23.5546875" style="1" customWidth="1"/>
    <col min="3" max="3" width="6.6640625" style="1" customWidth="1"/>
    <col min="4" max="4" width="21.44140625" style="1" customWidth="1"/>
    <col min="5" max="5" width="29.33203125" style="1" customWidth="1"/>
    <col min="6" max="6" width="27.77734375" style="1" customWidth="1"/>
    <col min="7" max="7" width="30.33203125" style="1" customWidth="1"/>
    <col min="8" max="8" width="26.5546875" style="1" customWidth="1"/>
    <col min="9" max="16384" width="8.88671875" style="1"/>
  </cols>
  <sheetData>
    <row r="2" spans="2:8" x14ac:dyDescent="0.3">
      <c r="B2" s="2"/>
    </row>
    <row r="3" spans="2:8" x14ac:dyDescent="0.3">
      <c r="B3" s="2"/>
    </row>
    <row r="4" spans="2:8" x14ac:dyDescent="0.3">
      <c r="B4" s="2"/>
    </row>
    <row r="5" spans="2:8" x14ac:dyDescent="0.3">
      <c r="B5" s="2"/>
    </row>
    <row r="6" spans="2:8" x14ac:dyDescent="0.3">
      <c r="B6" s="2"/>
    </row>
    <row r="7" spans="2:8" x14ac:dyDescent="0.3">
      <c r="B7" s="2"/>
    </row>
    <row r="8" spans="2:8" x14ac:dyDescent="0.3">
      <c r="B8" s="2"/>
    </row>
    <row r="9" spans="2:8" ht="23.4" x14ac:dyDescent="0.45">
      <c r="B9" s="2"/>
      <c r="D9" s="14" t="s">
        <v>27</v>
      </c>
      <c r="E9" s="14" t="s">
        <v>38</v>
      </c>
      <c r="F9" s="15" t="s">
        <v>50</v>
      </c>
      <c r="G9" s="15" t="s">
        <v>54</v>
      </c>
      <c r="H9" s="15" t="s">
        <v>3</v>
      </c>
    </row>
    <row r="10" spans="2:8" ht="23.4" x14ac:dyDescent="0.45">
      <c r="B10" s="2"/>
      <c r="D10" s="13"/>
      <c r="E10" s="13"/>
      <c r="F10" s="15"/>
      <c r="G10" s="15"/>
      <c r="H10" s="15"/>
    </row>
    <row r="11" spans="2:8" ht="23.4" x14ac:dyDescent="0.45">
      <c r="B11" s="2"/>
      <c r="D11" s="13" t="s">
        <v>28</v>
      </c>
      <c r="E11" s="13" t="s">
        <v>41</v>
      </c>
      <c r="F11" s="15" t="s">
        <v>51</v>
      </c>
      <c r="G11" s="15" t="s">
        <v>91</v>
      </c>
      <c r="H11" s="15" t="s">
        <v>9</v>
      </c>
    </row>
    <row r="12" spans="2:8" ht="23.4" x14ac:dyDescent="0.45">
      <c r="B12" s="2"/>
      <c r="D12" s="13" t="s">
        <v>29</v>
      </c>
      <c r="E12" s="13" t="s">
        <v>63</v>
      </c>
      <c r="F12" s="15" t="s">
        <v>51</v>
      </c>
      <c r="G12" s="15" t="s">
        <v>91</v>
      </c>
      <c r="H12" s="15" t="s">
        <v>55</v>
      </c>
    </row>
    <row r="13" spans="2:8" ht="23.4" x14ac:dyDescent="0.45">
      <c r="B13" s="2"/>
      <c r="D13" s="13" t="s">
        <v>30</v>
      </c>
      <c r="E13" s="13" t="s">
        <v>42</v>
      </c>
      <c r="F13" s="15" t="s">
        <v>51</v>
      </c>
      <c r="G13" s="15" t="s">
        <v>91</v>
      </c>
      <c r="H13" s="15" t="s">
        <v>56</v>
      </c>
    </row>
    <row r="14" spans="2:8" ht="23.4" x14ac:dyDescent="0.45">
      <c r="B14" s="2"/>
      <c r="D14" s="13" t="s">
        <v>31</v>
      </c>
      <c r="E14" s="13" t="s">
        <v>43</v>
      </c>
      <c r="F14" s="15" t="s">
        <v>52</v>
      </c>
      <c r="G14" s="15" t="s">
        <v>92</v>
      </c>
      <c r="H14" s="15" t="s">
        <v>15</v>
      </c>
    </row>
    <row r="15" spans="2:8" ht="23.4" x14ac:dyDescent="0.45">
      <c r="B15" s="2"/>
      <c r="D15" s="13" t="s">
        <v>32</v>
      </c>
      <c r="E15" s="13" t="s">
        <v>44</v>
      </c>
      <c r="F15" s="15" t="s">
        <v>52</v>
      </c>
      <c r="G15" s="15" t="s">
        <v>92</v>
      </c>
      <c r="H15" s="15" t="s">
        <v>57</v>
      </c>
    </row>
    <row r="16" spans="2:8" ht="23.4" x14ac:dyDescent="0.45">
      <c r="B16" s="2"/>
      <c r="D16" s="13" t="s">
        <v>33</v>
      </c>
      <c r="E16" s="13" t="s">
        <v>45</v>
      </c>
      <c r="F16" s="15" t="s">
        <v>52</v>
      </c>
      <c r="G16" s="15" t="s">
        <v>92</v>
      </c>
      <c r="H16" s="15" t="s">
        <v>58</v>
      </c>
    </row>
    <row r="17" spans="2:8" ht="23.4" x14ac:dyDescent="0.45">
      <c r="B17" s="2"/>
      <c r="D17" s="13" t="s">
        <v>34</v>
      </c>
      <c r="E17" s="13" t="s">
        <v>46</v>
      </c>
      <c r="F17" s="15" t="s">
        <v>52</v>
      </c>
      <c r="G17" s="15" t="s">
        <v>92</v>
      </c>
      <c r="H17" s="15" t="s">
        <v>59</v>
      </c>
    </row>
    <row r="18" spans="2:8" ht="23.4" x14ac:dyDescent="0.45">
      <c r="B18" s="2"/>
      <c r="D18" s="13" t="s">
        <v>35</v>
      </c>
      <c r="E18" s="13" t="s">
        <v>47</v>
      </c>
      <c r="F18" s="15" t="s">
        <v>53</v>
      </c>
      <c r="G18" s="15" t="s">
        <v>93</v>
      </c>
      <c r="H18" s="15" t="s">
        <v>60</v>
      </c>
    </row>
    <row r="19" spans="2:8" ht="23.4" x14ac:dyDescent="0.45">
      <c r="B19" s="2"/>
      <c r="D19" s="13" t="s">
        <v>36</v>
      </c>
      <c r="E19" s="13" t="s">
        <v>48</v>
      </c>
      <c r="F19" s="15" t="s">
        <v>53</v>
      </c>
      <c r="G19" s="15" t="s">
        <v>93</v>
      </c>
      <c r="H19" s="15" t="s">
        <v>61</v>
      </c>
    </row>
    <row r="20" spans="2:8" ht="23.4" x14ac:dyDescent="0.45">
      <c r="B20" s="2"/>
      <c r="D20" s="16" t="s">
        <v>37</v>
      </c>
      <c r="E20" s="16" t="s">
        <v>49</v>
      </c>
      <c r="F20" s="15" t="s">
        <v>53</v>
      </c>
      <c r="G20" s="15" t="s">
        <v>93</v>
      </c>
      <c r="H20" s="15" t="s">
        <v>62</v>
      </c>
    </row>
    <row r="21" spans="2:8" x14ac:dyDescent="0.3">
      <c r="B21" s="2"/>
    </row>
    <row r="22" spans="2:8" x14ac:dyDescent="0.3">
      <c r="B22" s="2"/>
    </row>
    <row r="23" spans="2:8" x14ac:dyDescent="0.3">
      <c r="B23" s="2"/>
    </row>
    <row r="24" spans="2:8" x14ac:dyDescent="0.3">
      <c r="B24" s="2"/>
    </row>
  </sheetData>
  <phoneticPr fontId="3" type="noConversion"/>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E3288-1097-4E45-8AC4-4F0AA381EAE2}">
  <dimension ref="B2:F29"/>
  <sheetViews>
    <sheetView showGridLines="0" workbookViewId="0"/>
  </sheetViews>
  <sheetFormatPr defaultRowHeight="14.4" x14ac:dyDescent="0.3"/>
  <cols>
    <col min="1" max="1" width="6.109375" style="1" customWidth="1"/>
    <col min="2" max="2" width="23.5546875" style="1" customWidth="1"/>
    <col min="3" max="3" width="7" style="1" customWidth="1"/>
    <col min="4" max="5" width="8.88671875" style="1"/>
    <col min="6" max="6" width="22.109375" style="1" customWidth="1"/>
    <col min="7" max="16384" width="8.88671875" style="1"/>
  </cols>
  <sheetData>
    <row r="2" spans="2:6" x14ac:dyDescent="0.3">
      <c r="B2" s="2"/>
    </row>
    <row r="3" spans="2:6" x14ac:dyDescent="0.3">
      <c r="B3" s="2"/>
    </row>
    <row r="4" spans="2:6" x14ac:dyDescent="0.3">
      <c r="B4" s="2"/>
    </row>
    <row r="5" spans="2:6" x14ac:dyDescent="0.3">
      <c r="B5" s="2"/>
    </row>
    <row r="6" spans="2:6" x14ac:dyDescent="0.3">
      <c r="B6" s="2"/>
    </row>
    <row r="7" spans="2:6" x14ac:dyDescent="0.3">
      <c r="B7" s="2"/>
    </row>
    <row r="8" spans="2:6" ht="23.4" x14ac:dyDescent="0.45">
      <c r="B8" s="2"/>
      <c r="F8" s="17"/>
    </row>
    <row r="9" spans="2:6" ht="23.4" x14ac:dyDescent="0.45">
      <c r="B9" s="2"/>
      <c r="F9" s="18" t="s">
        <v>64</v>
      </c>
    </row>
    <row r="10" spans="2:6" ht="23.4" x14ac:dyDescent="0.45">
      <c r="B10" s="2"/>
      <c r="F10" s="19"/>
    </row>
    <row r="11" spans="2:6" ht="23.4" x14ac:dyDescent="0.45">
      <c r="B11" s="2"/>
      <c r="F11" s="18" t="s">
        <v>65</v>
      </c>
    </row>
    <row r="12" spans="2:6" x14ac:dyDescent="0.3">
      <c r="B12" s="2"/>
      <c r="F12" s="11"/>
    </row>
    <row r="13" spans="2:6" x14ac:dyDescent="0.3">
      <c r="B13" s="2"/>
    </row>
    <row r="14" spans="2:6" x14ac:dyDescent="0.3">
      <c r="B14" s="2"/>
    </row>
    <row r="15" spans="2:6" x14ac:dyDescent="0.3">
      <c r="B15" s="2"/>
    </row>
    <row r="16" spans="2:6" x14ac:dyDescent="0.3">
      <c r="B16" s="2"/>
    </row>
    <row r="17" spans="2:2" x14ac:dyDescent="0.3">
      <c r="B17" s="2"/>
    </row>
    <row r="18" spans="2:2" x14ac:dyDescent="0.3">
      <c r="B18" s="2"/>
    </row>
    <row r="19" spans="2:2" x14ac:dyDescent="0.3">
      <c r="B19" s="2"/>
    </row>
    <row r="20" spans="2:2" x14ac:dyDescent="0.3">
      <c r="B20" s="2"/>
    </row>
    <row r="21" spans="2:2" x14ac:dyDescent="0.3">
      <c r="B21" s="2"/>
    </row>
    <row r="22" spans="2:2" x14ac:dyDescent="0.3">
      <c r="B22" s="2"/>
    </row>
    <row r="23" spans="2:2" x14ac:dyDescent="0.3">
      <c r="B23" s="2"/>
    </row>
    <row r="24" spans="2:2" x14ac:dyDescent="0.3">
      <c r="B24" s="2"/>
    </row>
    <row r="25" spans="2:2" x14ac:dyDescent="0.3">
      <c r="B25" s="2"/>
    </row>
    <row r="26" spans="2:2" x14ac:dyDescent="0.3">
      <c r="B26" s="2"/>
    </row>
    <row r="27" spans="2:2" x14ac:dyDescent="0.3">
      <c r="B27" s="2"/>
    </row>
    <row r="28" spans="2:2" x14ac:dyDescent="0.3">
      <c r="B28" s="2"/>
    </row>
    <row r="29" spans="2:2" x14ac:dyDescent="0.3">
      <c r="B29" s="2"/>
    </row>
  </sheetData>
  <hyperlinks>
    <hyperlink ref="F9" location="Purchase!A1" display="Purchase Entry" xr:uid="{9690A288-275B-4D1A-B6CF-3154E127944C}"/>
    <hyperlink ref="F11" location="Sales!A1" display="Sales Entry" xr:uid="{5993E666-4B40-4D0C-ACE5-86AE1D85BF50}"/>
  </hyperlink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DB45C-940D-4397-8CAC-41D85C01F9EB}">
  <dimension ref="B2:J24"/>
  <sheetViews>
    <sheetView showGridLines="0" workbookViewId="0"/>
  </sheetViews>
  <sheetFormatPr defaultRowHeight="14.4" x14ac:dyDescent="0.3"/>
  <cols>
    <col min="1" max="1" width="6.109375" style="1" customWidth="1"/>
    <col min="2" max="2" width="23.5546875" style="1" customWidth="1"/>
    <col min="3" max="3" width="7.44140625" style="1" customWidth="1"/>
    <col min="4" max="4" width="19" style="1" customWidth="1"/>
    <col min="5" max="5" width="27" style="1" customWidth="1"/>
    <col min="6" max="6" width="21.109375" style="1" customWidth="1"/>
    <col min="7" max="7" width="21.21875" style="1" customWidth="1"/>
    <col min="8" max="8" width="15.6640625" style="1" customWidth="1"/>
    <col min="9" max="9" width="18.88671875" style="1" customWidth="1"/>
    <col min="10" max="10" width="17.109375" style="1" customWidth="1"/>
    <col min="11" max="16384" width="8.88671875" style="1"/>
  </cols>
  <sheetData>
    <row r="2" spans="2:10" x14ac:dyDescent="0.3">
      <c r="B2" s="2"/>
    </row>
    <row r="3" spans="2:10" x14ac:dyDescent="0.3">
      <c r="B3" s="2"/>
    </row>
    <row r="4" spans="2:10" x14ac:dyDescent="0.3">
      <c r="B4" s="2"/>
    </row>
    <row r="5" spans="2:10" x14ac:dyDescent="0.3">
      <c r="B5" s="2"/>
    </row>
    <row r="6" spans="2:10" x14ac:dyDescent="0.3">
      <c r="B6" s="2"/>
    </row>
    <row r="7" spans="2:10" x14ac:dyDescent="0.3">
      <c r="B7" s="2"/>
    </row>
    <row r="8" spans="2:10" x14ac:dyDescent="0.3">
      <c r="B8" s="2"/>
    </row>
    <row r="9" spans="2:10" ht="21" x14ac:dyDescent="0.4">
      <c r="B9" s="2"/>
      <c r="D9" s="12" t="s">
        <v>27</v>
      </c>
      <c r="E9" s="12" t="s">
        <v>38</v>
      </c>
      <c r="F9" s="12" t="s">
        <v>66</v>
      </c>
      <c r="G9" s="12" t="s">
        <v>67</v>
      </c>
      <c r="H9" s="12" t="s">
        <v>68</v>
      </c>
      <c r="I9" s="12" t="s">
        <v>39</v>
      </c>
      <c r="J9" s="12" t="s">
        <v>69</v>
      </c>
    </row>
    <row r="10" spans="2:10" ht="21" x14ac:dyDescent="0.4">
      <c r="B10" s="2"/>
      <c r="D10" s="12"/>
      <c r="E10" s="12" t="str">
        <f>IFERROR(VLOOKUP(purchasedata[[#This Row],[HSN Code]],productsdata[#All],2,0),"")</f>
        <v/>
      </c>
      <c r="F10" s="12" t="str">
        <f>IFERROR(VLOOKUP(purchasedata[[#This Row],[HSN Code]],vendorsdata[#All],3,0),"")</f>
        <v/>
      </c>
      <c r="G10" s="12"/>
      <c r="H10" s="12"/>
      <c r="I10" s="12" t="str">
        <f>IFERROR(VLOOKUP(purchasedata[[#This Row],[HSN Code]],productsdata[#All],3,0),"")</f>
        <v/>
      </c>
      <c r="J10" s="12" t="str">
        <f>IFERROR(purchasedata[[#This Row],[Units]]*purchasedata[[#This Row],[Cost]],"")</f>
        <v/>
      </c>
    </row>
    <row r="11" spans="2:10" ht="21" x14ac:dyDescent="0.4">
      <c r="B11" s="2"/>
      <c r="D11" s="12" t="s">
        <v>28</v>
      </c>
      <c r="E11" s="12" t="str">
        <f>IFERROR(VLOOKUP(purchasedata[[#This Row],[HSN Code]],productsdata[#All],2,0),"")</f>
        <v>Smart Watch</v>
      </c>
      <c r="F11" s="12" t="str">
        <f>IFERROR(VLOOKUP(purchasedata[[#This Row],[HSN Code]],vendorsdata[#All],3,0),"")</f>
        <v>Tech99</v>
      </c>
      <c r="G11" s="20">
        <v>46023</v>
      </c>
      <c r="H11" s="12">
        <v>12</v>
      </c>
      <c r="I11" s="12">
        <f>IFERROR(VLOOKUP(purchasedata[[#This Row],[HSN Code]],productsdata[#All],3,0),"")</f>
        <v>980</v>
      </c>
      <c r="J11" s="12">
        <f>IFERROR(purchasedata[[#This Row],[Units]]*purchasedata[[#This Row],[Cost]],"")</f>
        <v>11760</v>
      </c>
    </row>
    <row r="12" spans="2:10" ht="21" x14ac:dyDescent="0.4">
      <c r="B12" s="2"/>
      <c r="D12" s="12" t="s">
        <v>29</v>
      </c>
      <c r="E12" s="12" t="str">
        <f>IFERROR(VLOOKUP(purchasedata[[#This Row],[HSN Code]],productsdata[#All],2,0),"")</f>
        <v>Laptop HP xyz i5</v>
      </c>
      <c r="F12" s="12" t="str">
        <f>IFERROR(VLOOKUP(purchasedata[[#This Row],[HSN Code]],vendorsdata[#All],3,0),"")</f>
        <v>Tech99</v>
      </c>
      <c r="G12" s="20">
        <v>46024</v>
      </c>
      <c r="H12" s="12">
        <v>1</v>
      </c>
      <c r="I12" s="12">
        <f>IFERROR(VLOOKUP(purchasedata[[#This Row],[HSN Code]],productsdata[#All],3,0),"")</f>
        <v>34500</v>
      </c>
      <c r="J12" s="12">
        <f>IFERROR(purchasedata[[#This Row],[Units]]*purchasedata[[#This Row],[Cost]],"")</f>
        <v>34500</v>
      </c>
    </row>
    <row r="13" spans="2:10" ht="21" x14ac:dyDescent="0.4">
      <c r="B13" s="2"/>
      <c r="D13" s="12" t="s">
        <v>30</v>
      </c>
      <c r="E13" s="12" t="str">
        <f>IFERROR(VLOOKUP(purchasedata[[#This Row],[HSN Code]],productsdata[#All],2,0),"")</f>
        <v>Wireless Printer</v>
      </c>
      <c r="F13" s="12" t="str">
        <f>IFERROR(VLOOKUP(purchasedata[[#This Row],[HSN Code]],vendorsdata[#All],3,0),"")</f>
        <v>Tech99</v>
      </c>
      <c r="G13" s="20">
        <v>46025</v>
      </c>
      <c r="H13" s="12">
        <v>3</v>
      </c>
      <c r="I13" s="12">
        <f>IFERROR(VLOOKUP(purchasedata[[#This Row],[HSN Code]],productsdata[#All],3,0),"")</f>
        <v>4600</v>
      </c>
      <c r="J13" s="12">
        <f>IFERROR(purchasedata[[#This Row],[Units]]*purchasedata[[#This Row],[Cost]],"")</f>
        <v>13800</v>
      </c>
    </row>
    <row r="14" spans="2:10" ht="21" x14ac:dyDescent="0.4">
      <c r="B14" s="2"/>
      <c r="D14" s="12" t="s">
        <v>31</v>
      </c>
      <c r="E14" s="12" t="str">
        <f>IFERROR(VLOOKUP(purchasedata[[#This Row],[HSN Code]],productsdata[#All],2,0),"")</f>
        <v>Desktop</v>
      </c>
      <c r="F14" s="12" t="str">
        <f>IFERROR(VLOOKUP(purchasedata[[#This Row],[HSN Code]],vendorsdata[#All],3,0),"")</f>
        <v>GG Traders</v>
      </c>
      <c r="G14" s="20">
        <v>46026</v>
      </c>
      <c r="H14" s="12">
        <v>8</v>
      </c>
      <c r="I14" s="12">
        <f>IFERROR(VLOOKUP(purchasedata[[#This Row],[HSN Code]],productsdata[#All],3,0),"")</f>
        <v>21000</v>
      </c>
      <c r="J14" s="12">
        <f>IFERROR(purchasedata[[#This Row],[Units]]*purchasedata[[#This Row],[Cost]],"")</f>
        <v>168000</v>
      </c>
    </row>
    <row r="15" spans="2:10" ht="21" x14ac:dyDescent="0.4">
      <c r="B15" s="2"/>
      <c r="D15" s="12" t="s">
        <v>32</v>
      </c>
      <c r="E15" s="12" t="str">
        <f>IFERROR(VLOOKUP(purchasedata[[#This Row],[HSN Code]],productsdata[#All],2,0),"")</f>
        <v>Mouse</v>
      </c>
      <c r="F15" s="12" t="str">
        <f>IFERROR(VLOOKUP(purchasedata[[#This Row],[HSN Code]],vendorsdata[#All],3,0),"")</f>
        <v>GG Traders</v>
      </c>
      <c r="G15" s="20">
        <v>46027</v>
      </c>
      <c r="H15" s="12">
        <v>4</v>
      </c>
      <c r="I15" s="12">
        <f>IFERROR(VLOOKUP(purchasedata[[#This Row],[HSN Code]],productsdata[#All],3,0),"")</f>
        <v>200</v>
      </c>
      <c r="J15" s="12">
        <f>IFERROR(purchasedata[[#This Row],[Units]]*purchasedata[[#This Row],[Cost]],"")</f>
        <v>800</v>
      </c>
    </row>
    <row r="16" spans="2:10" ht="21" x14ac:dyDescent="0.4">
      <c r="B16" s="2"/>
      <c r="D16" s="12" t="s">
        <v>33</v>
      </c>
      <c r="E16" s="12" t="str">
        <f>IFERROR(VLOOKUP(purchasedata[[#This Row],[HSN Code]],productsdata[#All],2,0),"")</f>
        <v>Rgb Keyboard</v>
      </c>
      <c r="F16" s="12" t="str">
        <f>IFERROR(VLOOKUP(purchasedata[[#This Row],[HSN Code]],vendorsdata[#All],3,0),"")</f>
        <v>GG Traders</v>
      </c>
      <c r="G16" s="20">
        <v>46028</v>
      </c>
      <c r="H16" s="12">
        <v>10</v>
      </c>
      <c r="I16" s="12">
        <f>IFERROR(VLOOKUP(purchasedata[[#This Row],[HSN Code]],productsdata[#All],3,0),"")</f>
        <v>340</v>
      </c>
      <c r="J16" s="12">
        <f>IFERROR(purchasedata[[#This Row],[Units]]*purchasedata[[#This Row],[Cost]],"")</f>
        <v>3400</v>
      </c>
    </row>
    <row r="17" spans="2:10" ht="21" x14ac:dyDescent="0.4">
      <c r="B17" s="2"/>
      <c r="D17" s="12" t="s">
        <v>34</v>
      </c>
      <c r="E17" s="12" t="str">
        <f>IFERROR(VLOOKUP(purchasedata[[#This Row],[HSN Code]],productsdata[#All],2,0),"")</f>
        <v>Camera</v>
      </c>
      <c r="F17" s="12" t="str">
        <f>IFERROR(VLOOKUP(purchasedata[[#This Row],[HSN Code]],vendorsdata[#All],3,0),"")</f>
        <v>GG Traders</v>
      </c>
      <c r="G17" s="20">
        <v>46029</v>
      </c>
      <c r="H17" s="12">
        <v>8</v>
      </c>
      <c r="I17" s="12">
        <f>IFERROR(VLOOKUP(purchasedata[[#This Row],[HSN Code]],productsdata[#All],3,0),"")</f>
        <v>52000</v>
      </c>
      <c r="J17" s="12">
        <f>IFERROR(purchasedata[[#This Row],[Units]]*purchasedata[[#This Row],[Cost]],"")</f>
        <v>416000</v>
      </c>
    </row>
    <row r="18" spans="2:10" ht="21" x14ac:dyDescent="0.4">
      <c r="B18" s="2"/>
      <c r="D18" s="12" t="s">
        <v>35</v>
      </c>
      <c r="E18" s="12" t="str">
        <f>IFERROR(VLOOKUP(purchasedata[[#This Row],[HSN Code]],productsdata[#All],2,0),"")</f>
        <v>HeadPhones</v>
      </c>
      <c r="F18" s="12" t="str">
        <f>IFERROR(VLOOKUP(purchasedata[[#This Row],[HSN Code]],vendorsdata[#All],3,0),"")</f>
        <v>Compac</v>
      </c>
      <c r="G18" s="20">
        <v>46030</v>
      </c>
      <c r="H18" s="12">
        <v>12</v>
      </c>
      <c r="I18" s="12">
        <f>IFERROR(VLOOKUP(purchasedata[[#This Row],[HSN Code]],productsdata[#All],3,0),"")</f>
        <v>799</v>
      </c>
      <c r="J18" s="12">
        <f>IFERROR(purchasedata[[#This Row],[Units]]*purchasedata[[#This Row],[Cost]],"")</f>
        <v>9588</v>
      </c>
    </row>
    <row r="19" spans="2:10" ht="21" x14ac:dyDescent="0.4">
      <c r="B19" s="2"/>
      <c r="D19" s="12" t="s">
        <v>36</v>
      </c>
      <c r="E19" s="12" t="str">
        <f>IFERROR(VLOOKUP(purchasedata[[#This Row],[HSN Code]],productsdata[#All],2,0),"")</f>
        <v>Speakers</v>
      </c>
      <c r="F19" s="12" t="str">
        <f>IFERROR(VLOOKUP(purchasedata[[#This Row],[HSN Code]],vendorsdata[#All],3,0),"")</f>
        <v>Compac</v>
      </c>
      <c r="G19" s="20">
        <v>46031</v>
      </c>
      <c r="H19" s="12">
        <v>10</v>
      </c>
      <c r="I19" s="12">
        <f>IFERROR(VLOOKUP(purchasedata[[#This Row],[HSN Code]],productsdata[#All],3,0),"")</f>
        <v>670</v>
      </c>
      <c r="J19" s="12">
        <f>IFERROR(purchasedata[[#This Row],[Units]]*purchasedata[[#This Row],[Cost]],"")</f>
        <v>6700</v>
      </c>
    </row>
    <row r="20" spans="2:10" ht="21" x14ac:dyDescent="0.4">
      <c r="B20" s="2"/>
      <c r="D20" s="12" t="s">
        <v>37</v>
      </c>
      <c r="E20" s="12" t="str">
        <f>IFERROR(VLOOKUP(purchasedata[[#This Row],[HSN Code]],productsdata[#All],2,0),"")</f>
        <v>Tablets</v>
      </c>
      <c r="F20" s="12" t="str">
        <f>IFERROR(VLOOKUP(purchasedata[[#This Row],[HSN Code]],vendorsdata[#All],3,0),"")</f>
        <v>Compac</v>
      </c>
      <c r="G20" s="20">
        <v>46032</v>
      </c>
      <c r="H20" s="12">
        <v>2</v>
      </c>
      <c r="I20" s="12">
        <f>IFERROR(VLOOKUP(purchasedata[[#This Row],[HSN Code]],productsdata[#All],3,0),"")</f>
        <v>23500</v>
      </c>
      <c r="J20" s="12">
        <f>IFERROR(purchasedata[[#This Row],[Units]]*purchasedata[[#This Row],[Cost]],"")</f>
        <v>47000</v>
      </c>
    </row>
    <row r="21" spans="2:10" ht="21" x14ac:dyDescent="0.4">
      <c r="B21" s="2"/>
      <c r="D21" s="12" t="s">
        <v>30</v>
      </c>
      <c r="E21" s="12" t="str">
        <f>IFERROR(VLOOKUP(purchasedata[[#This Row],[HSN Code]],productsdata[#All],2,0),"")</f>
        <v>Wireless Printer</v>
      </c>
      <c r="F21" s="12" t="str">
        <f>IFERROR(VLOOKUP(purchasedata[[#This Row],[HSN Code]],vendorsdata[#All],3,0),"")</f>
        <v>Tech99</v>
      </c>
      <c r="G21" s="20">
        <v>46033</v>
      </c>
      <c r="H21" s="12">
        <v>1</v>
      </c>
      <c r="I21" s="12">
        <f>IFERROR(VLOOKUP(purchasedata[[#This Row],[HSN Code]],productsdata[#All],3,0),"")</f>
        <v>4600</v>
      </c>
      <c r="J21" s="12">
        <f>IFERROR(purchasedata[[#This Row],[Units]]*purchasedata[[#This Row],[Cost]],"")</f>
        <v>4600</v>
      </c>
    </row>
    <row r="22" spans="2:10" ht="21" x14ac:dyDescent="0.4">
      <c r="B22" s="2"/>
      <c r="D22" s="12" t="s">
        <v>31</v>
      </c>
      <c r="E22" s="12" t="str">
        <f>IFERROR(VLOOKUP(purchasedata[[#This Row],[HSN Code]],productsdata[#All],2,0),"")</f>
        <v>Desktop</v>
      </c>
      <c r="F22" s="12" t="str">
        <f>IFERROR(VLOOKUP(purchasedata[[#This Row],[HSN Code]],vendorsdata[#All],3,0),"")</f>
        <v>GG Traders</v>
      </c>
      <c r="G22" s="20">
        <v>46034</v>
      </c>
      <c r="H22" s="12">
        <v>2</v>
      </c>
      <c r="I22" s="12">
        <f>IFERROR(VLOOKUP(purchasedata[[#This Row],[HSN Code]],productsdata[#All],3,0),"")</f>
        <v>21000</v>
      </c>
      <c r="J22" s="12">
        <f>IFERROR(purchasedata[[#This Row],[Units]]*purchasedata[[#This Row],[Cost]],"")</f>
        <v>42000</v>
      </c>
    </row>
    <row r="23" spans="2:10" ht="21" x14ac:dyDescent="0.4">
      <c r="B23" s="2"/>
      <c r="D23" s="12" t="s">
        <v>34</v>
      </c>
      <c r="E23" s="12" t="str">
        <f>IFERROR(VLOOKUP(purchasedata[[#This Row],[HSN Code]],productsdata[#All],2,0),"")</f>
        <v>Camera</v>
      </c>
      <c r="F23" s="12" t="str">
        <f>IFERROR(VLOOKUP(purchasedata[[#This Row],[HSN Code]],vendorsdata[#All],3,0),"")</f>
        <v>GG Traders</v>
      </c>
      <c r="G23" s="20">
        <v>46035</v>
      </c>
      <c r="H23" s="12">
        <v>5</v>
      </c>
      <c r="I23" s="12">
        <f>IFERROR(VLOOKUP(purchasedata[[#This Row],[HSN Code]],productsdata[#All],3,0),"")</f>
        <v>52000</v>
      </c>
      <c r="J23" s="12">
        <f>IFERROR(purchasedata[[#This Row],[Units]]*purchasedata[[#This Row],[Cost]],"")</f>
        <v>260000</v>
      </c>
    </row>
    <row r="24" spans="2:10" ht="21" x14ac:dyDescent="0.4">
      <c r="B24" s="2"/>
      <c r="D24" s="12" t="s">
        <v>28</v>
      </c>
      <c r="E24" s="12" t="str">
        <f>IFERROR(VLOOKUP(purchasedata[[#This Row],[HSN Code]],productsdata[#All],2,0),"")</f>
        <v>Smart Watch</v>
      </c>
      <c r="F24" s="12" t="str">
        <f>IFERROR(VLOOKUP(purchasedata[[#This Row],[HSN Code]],vendorsdata[#All],3,0),"")</f>
        <v>Tech99</v>
      </c>
      <c r="G24" s="20">
        <v>46036</v>
      </c>
      <c r="H24" s="12">
        <v>6</v>
      </c>
      <c r="I24" s="12">
        <f>IFERROR(VLOOKUP(purchasedata[[#This Row],[HSN Code]],productsdata[#All],3,0),"")</f>
        <v>980</v>
      </c>
      <c r="J24" s="12">
        <f>IFERROR(purchasedata[[#This Row],[Units]]*purchasedata[[#This Row],[Cost]],"")</f>
        <v>5880</v>
      </c>
    </row>
  </sheetData>
  <dataValidations count="1">
    <dataValidation type="list" allowBlank="1" showInputMessage="1" showErrorMessage="1" sqref="D11:D24" xr:uid="{A21B51F2-E490-4F73-BB44-CDB4C6D9AC87}">
      <formula1>hsncode</formula1>
    </dataValidation>
  </dataValidations>
  <pageMargins left="0.7" right="0.7" top="0.75" bottom="0.75" header="0.3" footer="0.3"/>
  <pageSetup orientation="portrait"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7CA91-B834-4554-99CA-2F266EB3D67C}">
  <dimension ref="B2:L26"/>
  <sheetViews>
    <sheetView workbookViewId="0"/>
  </sheetViews>
  <sheetFormatPr defaultRowHeight="14.4" x14ac:dyDescent="0.3"/>
  <cols>
    <col min="1" max="1" width="6.109375" style="1" customWidth="1"/>
    <col min="2" max="2" width="23.5546875" style="1" customWidth="1"/>
    <col min="3" max="3" width="6.5546875" style="1" customWidth="1"/>
    <col min="4" max="4" width="16" style="1" customWidth="1"/>
    <col min="5" max="5" width="20.33203125" style="1" customWidth="1"/>
    <col min="6" max="6" width="18.5546875" style="1" customWidth="1"/>
    <col min="7" max="7" width="24.77734375" style="1" customWidth="1"/>
    <col min="8" max="8" width="16.21875" style="1" customWidth="1"/>
    <col min="9" max="9" width="21.5546875" style="1" customWidth="1"/>
    <col min="10" max="10" width="13.44140625" style="1" customWidth="1"/>
    <col min="11" max="11" width="15.33203125" style="1" customWidth="1"/>
    <col min="12" max="12" width="18.44140625" style="1" customWidth="1"/>
    <col min="13" max="16384" width="8.88671875" style="1"/>
  </cols>
  <sheetData>
    <row r="2" spans="2:12" x14ac:dyDescent="0.3">
      <c r="B2" s="2"/>
    </row>
    <row r="3" spans="2:12" x14ac:dyDescent="0.3">
      <c r="B3" s="2"/>
    </row>
    <row r="4" spans="2:12" x14ac:dyDescent="0.3">
      <c r="B4" s="2"/>
    </row>
    <row r="5" spans="2:12" x14ac:dyDescent="0.3">
      <c r="B5" s="2"/>
    </row>
    <row r="6" spans="2:12" x14ac:dyDescent="0.3">
      <c r="B6" s="2"/>
    </row>
    <row r="7" spans="2:12" x14ac:dyDescent="0.3">
      <c r="B7" s="2"/>
    </row>
    <row r="8" spans="2:12" x14ac:dyDescent="0.3">
      <c r="B8" s="2"/>
    </row>
    <row r="9" spans="2:12" ht="23.4" x14ac:dyDescent="0.45">
      <c r="B9" s="2"/>
      <c r="D9" s="13" t="s">
        <v>0</v>
      </c>
      <c r="E9" s="13" t="s">
        <v>70</v>
      </c>
      <c r="F9" s="13" t="s">
        <v>27</v>
      </c>
      <c r="G9" s="13" t="s">
        <v>38</v>
      </c>
      <c r="H9" s="13" t="s">
        <v>67</v>
      </c>
      <c r="I9" s="13" t="s">
        <v>71</v>
      </c>
      <c r="J9" s="13" t="s">
        <v>68</v>
      </c>
      <c r="K9" s="13" t="s">
        <v>72</v>
      </c>
      <c r="L9" s="13" t="s">
        <v>69</v>
      </c>
    </row>
    <row r="10" spans="2:12" ht="23.4" x14ac:dyDescent="0.45">
      <c r="B10" s="2"/>
      <c r="D10" s="13"/>
      <c r="E10" s="13" t="str">
        <f>IFERROR(VLOOKUP(salesdata[[#This Row],[Cust_ID]],customersdata[#All],2,0),"")</f>
        <v/>
      </c>
      <c r="F10" s="13"/>
      <c r="G10" s="13" t="str">
        <f>IFERROR(VLOOKUP(salesdata[[#This Row],[HSN Code]],productsdata[#All],2,0),"")</f>
        <v/>
      </c>
      <c r="H10" s="13"/>
      <c r="I10" s="13" t="str">
        <f>IFERROR(VLOOKUP(salesdata[[#This Row],[HSN Code]],inventorydata[#All],6,0),"")</f>
        <v/>
      </c>
      <c r="J10" s="13"/>
      <c r="K10" s="13" t="str">
        <f>IFERROR(VLOOKUP(salesdata[[#This Row],[HSN Code]],productsdata[#All],4,0),"")</f>
        <v/>
      </c>
      <c r="L10" s="13" t="str">
        <f>IFERROR(salesdata[[#This Row],[Units]]*salesdata[[#This Row],[Price]],"")</f>
        <v/>
      </c>
    </row>
    <row r="11" spans="2:12" ht="23.4" x14ac:dyDescent="0.45">
      <c r="B11" s="2"/>
      <c r="D11" s="13">
        <v>100</v>
      </c>
      <c r="E11" s="13" t="str">
        <f>IFERROR(VLOOKUP(salesdata[[#This Row],[Cust_ID]],customersdata[#All],2,0),"")</f>
        <v>Ram Sales</v>
      </c>
      <c r="F11" s="13" t="s">
        <v>28</v>
      </c>
      <c r="G11" s="13" t="str">
        <f>IFERROR(VLOOKUP(salesdata[[#This Row],[HSN Code]],productsdata[#All],2,0),"")</f>
        <v>Smart Watch</v>
      </c>
      <c r="H11" s="21">
        <v>46023</v>
      </c>
      <c r="I11" s="13">
        <f>IFERROR(VLOOKUP(salesdata[[#This Row],[HSN Code]],inventorydata[#All],6,0),"")</f>
        <v>10</v>
      </c>
      <c r="J11" s="13">
        <v>2</v>
      </c>
      <c r="K11" s="13">
        <f>IFERROR(VLOOKUP(salesdata[[#This Row],[HSN Code]],productsdata[#All],4,0),"")</f>
        <v>1176</v>
      </c>
      <c r="L11" s="13">
        <f>IFERROR(salesdata[[#This Row],[Units]]*salesdata[[#This Row],[Price]],"")</f>
        <v>2352</v>
      </c>
    </row>
    <row r="12" spans="2:12" ht="23.4" x14ac:dyDescent="0.45">
      <c r="B12" s="2"/>
      <c r="D12" s="13">
        <v>101</v>
      </c>
      <c r="E12" s="13" t="str">
        <f>IFERROR(VLOOKUP(salesdata[[#This Row],[Cust_ID]],customersdata[#All],2,0),"")</f>
        <v>Atul Ltd</v>
      </c>
      <c r="F12" s="13" t="s">
        <v>29</v>
      </c>
      <c r="G12" s="13" t="str">
        <f>IFERROR(VLOOKUP(salesdata[[#This Row],[HSN Code]],productsdata[#All],2,0),"")</f>
        <v>Laptop HP xyz i5</v>
      </c>
      <c r="H12" s="21">
        <v>46024</v>
      </c>
      <c r="I12" s="13">
        <f>IFERROR(VLOOKUP(salesdata[[#This Row],[HSN Code]],inventorydata[#All],6,0),"")</f>
        <v>1</v>
      </c>
      <c r="J12" s="13">
        <v>0</v>
      </c>
      <c r="K12" s="13">
        <f>IFERROR(VLOOKUP(salesdata[[#This Row],[HSN Code]],productsdata[#All],4,0),"")</f>
        <v>41400</v>
      </c>
      <c r="L12" s="13">
        <f>IFERROR(salesdata[[#This Row],[Units]]*salesdata[[#This Row],[Price]],"")</f>
        <v>0</v>
      </c>
    </row>
    <row r="13" spans="2:12" ht="23.4" x14ac:dyDescent="0.45">
      <c r="B13" s="2"/>
      <c r="D13" s="13">
        <v>102</v>
      </c>
      <c r="E13" s="13" t="str">
        <f>IFERROR(VLOOKUP(salesdata[[#This Row],[Cust_ID]],customersdata[#All],2,0),"")</f>
        <v>MK Tech.</v>
      </c>
      <c r="F13" s="13" t="s">
        <v>30</v>
      </c>
      <c r="G13" s="13" t="str">
        <f>IFERROR(VLOOKUP(salesdata[[#This Row],[HSN Code]],productsdata[#All],2,0),"")</f>
        <v>Wireless Printer</v>
      </c>
      <c r="H13" s="21">
        <v>46025</v>
      </c>
      <c r="I13" s="13">
        <f>IFERROR(VLOOKUP(salesdata[[#This Row],[HSN Code]],inventorydata[#All],6,0),"")</f>
        <v>1</v>
      </c>
      <c r="J13" s="13">
        <v>3</v>
      </c>
      <c r="K13" s="13">
        <f>IFERROR(VLOOKUP(salesdata[[#This Row],[HSN Code]],productsdata[#All],4,0),"")</f>
        <v>5520</v>
      </c>
      <c r="L13" s="13">
        <f>IFERROR(salesdata[[#This Row],[Units]]*salesdata[[#This Row],[Price]],"")</f>
        <v>16560</v>
      </c>
    </row>
    <row r="14" spans="2:12" ht="23.4" x14ac:dyDescent="0.45">
      <c r="B14" s="2"/>
      <c r="D14" s="13">
        <v>103</v>
      </c>
      <c r="E14" s="13" t="str">
        <f>IFERROR(VLOOKUP(salesdata[[#This Row],[Cust_ID]],customersdata[#All],2,0),"")</f>
        <v>99store</v>
      </c>
      <c r="F14" s="13" t="s">
        <v>31</v>
      </c>
      <c r="G14" s="13" t="str">
        <f>IFERROR(VLOOKUP(salesdata[[#This Row],[HSN Code]],productsdata[#All],2,0),"")</f>
        <v>Desktop</v>
      </c>
      <c r="H14" s="21">
        <v>46026</v>
      </c>
      <c r="I14" s="13">
        <f>IFERROR(VLOOKUP(salesdata[[#This Row],[HSN Code]],inventorydata[#All],6,0),"")</f>
        <v>4</v>
      </c>
      <c r="J14" s="13">
        <v>6</v>
      </c>
      <c r="K14" s="13">
        <f>IFERROR(VLOOKUP(salesdata[[#This Row],[HSN Code]],productsdata[#All],4,0),"")</f>
        <v>25200</v>
      </c>
      <c r="L14" s="13">
        <f>IFERROR(salesdata[[#This Row],[Units]]*salesdata[[#This Row],[Price]],"")</f>
        <v>151200</v>
      </c>
    </row>
    <row r="15" spans="2:12" ht="23.4" x14ac:dyDescent="0.45">
      <c r="B15" s="2"/>
      <c r="D15" s="13">
        <v>104</v>
      </c>
      <c r="E15" s="13" t="str">
        <f>IFERROR(VLOOKUP(salesdata[[#This Row],[Cust_ID]],customersdata[#All],2,0),"")</f>
        <v>Rajesh Kumar</v>
      </c>
      <c r="F15" s="13" t="s">
        <v>32</v>
      </c>
      <c r="G15" s="13" t="str">
        <f>IFERROR(VLOOKUP(salesdata[[#This Row],[HSN Code]],productsdata[#All],2,0),"")</f>
        <v>Mouse</v>
      </c>
      <c r="H15" s="21">
        <v>46027</v>
      </c>
      <c r="I15" s="13">
        <f>IFERROR(VLOOKUP(salesdata[[#This Row],[HSN Code]],inventorydata[#All],6,0),"")</f>
        <v>2</v>
      </c>
      <c r="J15" s="13">
        <v>2</v>
      </c>
      <c r="K15" s="13">
        <f>IFERROR(VLOOKUP(salesdata[[#This Row],[HSN Code]],productsdata[#All],4,0),"")</f>
        <v>240</v>
      </c>
      <c r="L15" s="13">
        <f>IFERROR(salesdata[[#This Row],[Units]]*salesdata[[#This Row],[Price]],"")</f>
        <v>480</v>
      </c>
    </row>
    <row r="16" spans="2:12" ht="23.4" x14ac:dyDescent="0.45">
      <c r="B16" s="2"/>
      <c r="D16" s="13">
        <v>105</v>
      </c>
      <c r="E16" s="13" t="str">
        <f>IFERROR(VLOOKUP(salesdata[[#This Row],[Cust_ID]],customersdata[#All],2,0),"")</f>
        <v>Amit</v>
      </c>
      <c r="F16" s="13" t="s">
        <v>33</v>
      </c>
      <c r="G16" s="13" t="str">
        <f>IFERROR(VLOOKUP(salesdata[[#This Row],[HSN Code]],productsdata[#All],2,0),"")</f>
        <v>Rgb Keyboard</v>
      </c>
      <c r="H16" s="21">
        <v>46028</v>
      </c>
      <c r="I16" s="13">
        <f>IFERROR(VLOOKUP(salesdata[[#This Row],[HSN Code]],inventorydata[#All],6,0),"")</f>
        <v>4</v>
      </c>
      <c r="J16" s="13">
        <v>6</v>
      </c>
      <c r="K16" s="13">
        <f>IFERROR(VLOOKUP(salesdata[[#This Row],[HSN Code]],productsdata[#All],4,0),"")</f>
        <v>408</v>
      </c>
      <c r="L16" s="13">
        <f>IFERROR(salesdata[[#This Row],[Units]]*salesdata[[#This Row],[Price]],"")</f>
        <v>2448</v>
      </c>
    </row>
    <row r="17" spans="2:12" ht="23.4" x14ac:dyDescent="0.45">
      <c r="B17" s="2"/>
      <c r="D17" s="13">
        <v>106</v>
      </c>
      <c r="E17" s="13" t="str">
        <f>IFERROR(VLOOKUP(salesdata[[#This Row],[Cust_ID]],customersdata[#All],2,0),"")</f>
        <v>Jain Tel.</v>
      </c>
      <c r="F17" s="13" t="s">
        <v>34</v>
      </c>
      <c r="G17" s="13" t="str">
        <f>IFERROR(VLOOKUP(salesdata[[#This Row],[HSN Code]],productsdata[#All],2,0),"")</f>
        <v>Camera</v>
      </c>
      <c r="H17" s="21">
        <v>46029</v>
      </c>
      <c r="I17" s="13">
        <f>IFERROR(VLOOKUP(salesdata[[#This Row],[HSN Code]],inventorydata[#All],6,0),"")</f>
        <v>12</v>
      </c>
      <c r="J17" s="13">
        <v>1</v>
      </c>
      <c r="K17" s="13">
        <f>IFERROR(VLOOKUP(salesdata[[#This Row],[HSN Code]],productsdata[#All],4,0),"")</f>
        <v>62400</v>
      </c>
      <c r="L17" s="13">
        <f>IFERROR(salesdata[[#This Row],[Units]]*salesdata[[#This Row],[Price]],"")</f>
        <v>62400</v>
      </c>
    </row>
    <row r="18" spans="2:12" x14ac:dyDescent="0.3">
      <c r="B18" s="2"/>
      <c r="D18" s="3"/>
      <c r="E18" s="3" t="str">
        <f>IFERROR(VLOOKUP(salesdata[[#This Row],[Cust_ID]],customersdata[#All],2,0),"")</f>
        <v/>
      </c>
      <c r="F18" s="3"/>
      <c r="G18" s="3" t="str">
        <f>IFERROR(VLOOKUP(salesdata[[#This Row],[HSN Code]],productsdata[#All],2,0),"")</f>
        <v/>
      </c>
      <c r="H18" s="3"/>
      <c r="I18" s="3" t="str">
        <f>IFERROR(VLOOKUP(salesdata[[#This Row],[HSN Code]],inventorydata[#All],6,0),"")</f>
        <v/>
      </c>
      <c r="J18" s="3"/>
      <c r="K18" s="3" t="str">
        <f>IFERROR(VLOOKUP(salesdata[[#This Row],[HSN Code]],productsdata[#All],4,0),"")</f>
        <v/>
      </c>
      <c r="L18" s="3" t="str">
        <f>IFERROR(salesdata[[#This Row],[Units]]*salesdata[[#This Row],[Price]],"")</f>
        <v/>
      </c>
    </row>
    <row r="19" spans="2:12" x14ac:dyDescent="0.3">
      <c r="B19" s="2"/>
      <c r="D19" s="3"/>
      <c r="E19" s="3" t="str">
        <f>IFERROR(VLOOKUP(salesdata[[#This Row],[Cust_ID]],customersdata[#All],2,0),"")</f>
        <v/>
      </c>
      <c r="F19" s="3"/>
      <c r="G19" s="3" t="str">
        <f>IFERROR(VLOOKUP(salesdata[[#This Row],[HSN Code]],productsdata[#All],2,0),"")</f>
        <v/>
      </c>
      <c r="H19" s="3"/>
      <c r="I19" s="3" t="str">
        <f>IFERROR(VLOOKUP(salesdata[[#This Row],[HSN Code]],inventorydata[#All],6,0),"")</f>
        <v/>
      </c>
      <c r="J19" s="3"/>
      <c r="K19" s="3" t="str">
        <f>IFERROR(VLOOKUP(salesdata[[#This Row],[HSN Code]],productsdata[#All],4,0),"")</f>
        <v/>
      </c>
      <c r="L19" s="3" t="str">
        <f>IFERROR(salesdata[[#This Row],[Units]]*salesdata[[#This Row],[Price]],"")</f>
        <v/>
      </c>
    </row>
    <row r="20" spans="2:12" x14ac:dyDescent="0.3">
      <c r="B20" s="2"/>
      <c r="D20" s="3"/>
      <c r="E20" s="3" t="str">
        <f>IFERROR(VLOOKUP(salesdata[[#This Row],[Cust_ID]],customersdata[#All],2,0),"")</f>
        <v/>
      </c>
      <c r="F20" s="3"/>
      <c r="G20" s="3" t="str">
        <f>IFERROR(VLOOKUP(salesdata[[#This Row],[HSN Code]],productsdata[#All],2,0),"")</f>
        <v/>
      </c>
      <c r="H20" s="3"/>
      <c r="I20" s="3" t="str">
        <f>IFERROR(VLOOKUP(salesdata[[#This Row],[HSN Code]],inventorydata[#All],6,0),"")</f>
        <v/>
      </c>
      <c r="J20" s="3"/>
      <c r="K20" s="3" t="str">
        <f>IFERROR(VLOOKUP(salesdata[[#This Row],[HSN Code]],productsdata[#All],4,0),"")</f>
        <v/>
      </c>
      <c r="L20" s="3" t="str">
        <f>IFERROR(salesdata[[#This Row],[Units]]*salesdata[[#This Row],[Price]],"")</f>
        <v/>
      </c>
    </row>
    <row r="21" spans="2:12" x14ac:dyDescent="0.3">
      <c r="B21" s="2"/>
      <c r="D21" s="3"/>
      <c r="E21" s="3" t="str">
        <f>IFERROR(VLOOKUP(salesdata[[#This Row],[Cust_ID]],customersdata[#All],2,0),"")</f>
        <v/>
      </c>
      <c r="F21" s="3"/>
      <c r="G21" s="3" t="str">
        <f>IFERROR(VLOOKUP(salesdata[[#This Row],[HSN Code]],productsdata[#All],2,0),"")</f>
        <v/>
      </c>
      <c r="H21" s="3"/>
      <c r="I21" s="3" t="str">
        <f>IFERROR(VLOOKUP(salesdata[[#This Row],[HSN Code]],inventorydata[#All],6,0),"")</f>
        <v/>
      </c>
      <c r="J21" s="3"/>
      <c r="K21" s="3" t="str">
        <f>IFERROR(VLOOKUP(salesdata[[#This Row],[HSN Code]],productsdata[#All],4,0),"")</f>
        <v/>
      </c>
      <c r="L21" s="3" t="str">
        <f>IFERROR(salesdata[[#This Row],[Units]]*salesdata[[#This Row],[Price]],"")</f>
        <v/>
      </c>
    </row>
    <row r="22" spans="2:12" x14ac:dyDescent="0.3">
      <c r="B22" s="2"/>
      <c r="D22" s="3"/>
      <c r="E22" s="3" t="str">
        <f>IFERROR(VLOOKUP(salesdata[[#This Row],[Cust_ID]],customersdata[#All],2,0),"")</f>
        <v/>
      </c>
      <c r="F22" s="3"/>
      <c r="G22" s="3" t="str">
        <f>IFERROR(VLOOKUP(salesdata[[#This Row],[HSN Code]],productsdata[#All],2,0),"")</f>
        <v/>
      </c>
      <c r="H22" s="3"/>
      <c r="I22" s="3" t="str">
        <f>IFERROR(VLOOKUP(salesdata[[#This Row],[HSN Code]],inventorydata[#All],6,0),"")</f>
        <v/>
      </c>
      <c r="J22" s="3"/>
      <c r="K22" s="3" t="str">
        <f>IFERROR(VLOOKUP(salesdata[[#This Row],[HSN Code]],productsdata[#All],4,0),"")</f>
        <v/>
      </c>
      <c r="L22" s="3" t="str">
        <f>IFERROR(salesdata[[#This Row],[Units]]*salesdata[[#This Row],[Price]],"")</f>
        <v/>
      </c>
    </row>
    <row r="23" spans="2:12" x14ac:dyDescent="0.3">
      <c r="B23" s="2"/>
      <c r="D23" s="3"/>
      <c r="E23" s="3" t="str">
        <f>IFERROR(VLOOKUP(salesdata[[#This Row],[Cust_ID]],customersdata[#All],2,0),"")</f>
        <v/>
      </c>
      <c r="F23" s="3"/>
      <c r="G23" s="3" t="str">
        <f>IFERROR(VLOOKUP(salesdata[[#This Row],[HSN Code]],productsdata[#All],2,0),"")</f>
        <v/>
      </c>
      <c r="H23" s="3"/>
      <c r="I23" s="3" t="str">
        <f>IFERROR(VLOOKUP(salesdata[[#This Row],[HSN Code]],inventorydata[#All],6,0),"")</f>
        <v/>
      </c>
      <c r="J23" s="3"/>
      <c r="K23" s="3" t="str">
        <f>IFERROR(VLOOKUP(salesdata[[#This Row],[HSN Code]],productsdata[#All],4,0),"")</f>
        <v/>
      </c>
      <c r="L23" s="3" t="str">
        <f>IFERROR(salesdata[[#This Row],[Units]]*salesdata[[#This Row],[Price]],"")</f>
        <v/>
      </c>
    </row>
    <row r="24" spans="2:12" x14ac:dyDescent="0.3">
      <c r="B24" s="2"/>
      <c r="D24" s="3"/>
      <c r="E24" s="3" t="str">
        <f>IFERROR(VLOOKUP(salesdata[[#This Row],[Cust_ID]],customersdata[#All],2,0),"")</f>
        <v/>
      </c>
      <c r="F24" s="3"/>
      <c r="G24" s="3" t="str">
        <f>IFERROR(VLOOKUP(salesdata[[#This Row],[HSN Code]],productsdata[#All],2,0),"")</f>
        <v/>
      </c>
      <c r="H24" s="3"/>
      <c r="I24" s="3" t="str">
        <f>IFERROR(VLOOKUP(salesdata[[#This Row],[HSN Code]],inventorydata[#All],6,0),"")</f>
        <v/>
      </c>
      <c r="J24" s="3"/>
      <c r="K24" s="3" t="str">
        <f>IFERROR(VLOOKUP(salesdata[[#This Row],[HSN Code]],productsdata[#All],4,0),"")</f>
        <v/>
      </c>
      <c r="L24" s="3" t="str">
        <f>IFERROR(salesdata[[#This Row],[Units]]*salesdata[[#This Row],[Price]],"")</f>
        <v/>
      </c>
    </row>
    <row r="25" spans="2:12" x14ac:dyDescent="0.3">
      <c r="B25" s="2"/>
      <c r="D25" s="3"/>
      <c r="E25" s="3" t="str">
        <f>IFERROR(VLOOKUP(salesdata[[#This Row],[Cust_ID]],customersdata[#All],2,0),"")</f>
        <v/>
      </c>
      <c r="F25" s="3"/>
      <c r="G25" s="3" t="str">
        <f>IFERROR(VLOOKUP(salesdata[[#This Row],[HSN Code]],productsdata[#All],2,0),"")</f>
        <v/>
      </c>
      <c r="H25" s="3"/>
      <c r="I25" s="3" t="str">
        <f>IFERROR(VLOOKUP(salesdata[[#This Row],[HSN Code]],inventorydata[#All],6,0),"")</f>
        <v/>
      </c>
      <c r="J25" s="3"/>
      <c r="K25" s="3" t="str">
        <f>IFERROR(VLOOKUP(salesdata[[#This Row],[HSN Code]],productsdata[#All],4,0),"")</f>
        <v/>
      </c>
      <c r="L25" s="3" t="str">
        <f>IFERROR(salesdata[[#This Row],[Units]]*salesdata[[#This Row],[Price]],"")</f>
        <v/>
      </c>
    </row>
    <row r="26" spans="2:12" x14ac:dyDescent="0.3">
      <c r="B26" s="2"/>
    </row>
  </sheetData>
  <dataValidations count="2">
    <dataValidation type="list" allowBlank="1" showInputMessage="1" showErrorMessage="1" sqref="D11:D25" xr:uid="{5EEBB4A1-1838-42FC-994C-ECBE3B44B3EA}">
      <formula1>Cust_ID</formula1>
    </dataValidation>
    <dataValidation type="list" allowBlank="1" showInputMessage="1" showErrorMessage="1" sqref="F11:F25" xr:uid="{3583092C-142B-47EF-B5E6-75246A7136F9}">
      <formula1>hsncode</formula1>
    </dataValidation>
  </dataValidations>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50512-015A-4F3D-9B4B-487B51D239C9}">
  <dimension ref="B2:L24"/>
  <sheetViews>
    <sheetView showGridLines="0" workbookViewId="0"/>
  </sheetViews>
  <sheetFormatPr defaultRowHeight="14.4" x14ac:dyDescent="0.3"/>
  <cols>
    <col min="1" max="1" width="6.109375" style="1" customWidth="1"/>
    <col min="2" max="2" width="23.5546875" style="1" customWidth="1"/>
    <col min="3" max="3" width="6.88671875" style="1" customWidth="1"/>
    <col min="4" max="4" width="18.109375" style="1" customWidth="1"/>
    <col min="5" max="5" width="25.88671875" style="1" customWidth="1"/>
    <col min="6" max="6" width="18" style="1" customWidth="1"/>
    <col min="7" max="8" width="17.33203125" style="1" customWidth="1"/>
    <col min="9" max="9" width="18" style="1" customWidth="1"/>
    <col min="10" max="10" width="18.77734375" style="1" customWidth="1"/>
    <col min="11" max="11" width="14.6640625" style="1" hidden="1" customWidth="1"/>
    <col min="12" max="12" width="18.5546875" style="1" customWidth="1"/>
    <col min="13" max="16384" width="8.88671875" style="1"/>
  </cols>
  <sheetData>
    <row r="2" spans="2:12" x14ac:dyDescent="0.3">
      <c r="B2" s="2"/>
    </row>
    <row r="3" spans="2:12" x14ac:dyDescent="0.3">
      <c r="B3" s="2"/>
    </row>
    <row r="4" spans="2:12" x14ac:dyDescent="0.3">
      <c r="B4" s="2"/>
    </row>
    <row r="5" spans="2:12" x14ac:dyDescent="0.3">
      <c r="B5" s="2"/>
    </row>
    <row r="6" spans="2:12" x14ac:dyDescent="0.3">
      <c r="B6" s="2"/>
    </row>
    <row r="7" spans="2:12" x14ac:dyDescent="0.3">
      <c r="B7" s="2"/>
    </row>
    <row r="8" spans="2:12" x14ac:dyDescent="0.3">
      <c r="B8" s="2"/>
    </row>
    <row r="9" spans="2:12" ht="23.4" x14ac:dyDescent="0.45">
      <c r="B9" s="2"/>
      <c r="D9" s="13" t="s">
        <v>27</v>
      </c>
      <c r="E9" s="13" t="s">
        <v>38</v>
      </c>
      <c r="F9" s="13" t="s">
        <v>39</v>
      </c>
      <c r="G9" s="13" t="s">
        <v>73</v>
      </c>
      <c r="H9" s="13" t="s">
        <v>74</v>
      </c>
      <c r="I9" s="13" t="s">
        <v>75</v>
      </c>
      <c r="J9" s="13" t="s">
        <v>76</v>
      </c>
      <c r="K9" s="3" t="s">
        <v>90</v>
      </c>
      <c r="L9" s="22" t="s">
        <v>96</v>
      </c>
    </row>
    <row r="10" spans="2:12" ht="23.4" x14ac:dyDescent="0.45">
      <c r="B10" s="2"/>
      <c r="D10" s="13"/>
      <c r="E10" s="13"/>
      <c r="F10" s="13" t="str">
        <f>IFERROR(VLOOKUP(purchasedata[[#This Row],[HSN Code]],productsdata[#All],3,0),"")</f>
        <v/>
      </c>
      <c r="G10" s="13"/>
      <c r="H10" s="13"/>
      <c r="I10" s="13"/>
      <c r="J10" s="13" t="str">
        <f>IFERROR(inventorydata[[#This Row],[Cost]]*inventorydata[[#This Row],[Stock]],"")</f>
        <v/>
      </c>
      <c r="K10" s="3" t="str">
        <f>IFERROR(VLOOKUP(inventorydata[[#This Row],[HSN Code]],vendorsdata[#All],4,0),"")</f>
        <v/>
      </c>
      <c r="L10" s="13"/>
    </row>
    <row r="11" spans="2:12" ht="23.4" x14ac:dyDescent="0.45">
      <c r="B11" s="2"/>
      <c r="D11" s="13" t="str">
        <f>IFERROR(purchasedata[[#This Row],[HSN Code]],"")</f>
        <v>N1001</v>
      </c>
      <c r="E11" s="13" t="str">
        <f>IFERROR(purchasedata[[#This Row],[Product Name]],"")</f>
        <v>Smart Watch</v>
      </c>
      <c r="F11" s="13">
        <f>IFERROR(VLOOKUP(purchasedata[[#This Row],[HSN Code]],productsdata[#All],3,0),"")</f>
        <v>980</v>
      </c>
      <c r="G11" s="13">
        <f>IFERROR(SUMIF(Purchase!E11:E20,inventorydata[[#This Row],[Product Name]],Purchase!H11:H20),"")</f>
        <v>12</v>
      </c>
      <c r="H11" s="13">
        <f>IFERROR(SUMIF(Sales!G11:G17,inventorydata[[#This Row],[Product Name]],Sales!J11:J17),"")</f>
        <v>2</v>
      </c>
      <c r="I11" s="13">
        <f>IFERROR(inventorydata[[#This Row],[P Units]]-inventorydata[[#This Row],[S Units]],"")</f>
        <v>10</v>
      </c>
      <c r="J11" s="13">
        <f>IFERROR(inventorydata[[#This Row],[Cost]]*inventorydata[[#This Row],[Stock]],"")</f>
        <v>9800</v>
      </c>
      <c r="K11" s="3" t="str">
        <f>IFERROR(VLOOKUP(inventorydata[[#This Row],[HSN Code]],vendorsdata[#All],4,0),"")</f>
        <v>📞9812xxxxxx</v>
      </c>
      <c r="L11" s="13" t="str">
        <f>IF(inventorydata[[#This Row],[Stock]]&gt;=10,"In Stock","Low Stock")</f>
        <v>In Stock</v>
      </c>
    </row>
    <row r="12" spans="2:12" ht="23.4" x14ac:dyDescent="0.45">
      <c r="B12" s="2"/>
      <c r="D12" s="13" t="str">
        <f>IFERROR(purchasedata[[#This Row],[HSN Code]],"")</f>
        <v>N1002</v>
      </c>
      <c r="E12" s="13" t="str">
        <f>IFERROR(purchasedata[[#This Row],[Product Name]],"")</f>
        <v>Laptop HP xyz i5</v>
      </c>
      <c r="F12" s="13">
        <f>IFERROR(VLOOKUP(purchasedata[[#This Row],[HSN Code]],productsdata[#All],3,0),"")</f>
        <v>34500</v>
      </c>
      <c r="G12" s="13">
        <f>IFERROR(SUMIF(Purchase!E12:E21,inventorydata[[#This Row],[Product Name]],Purchase!H12:H21),"")</f>
        <v>1</v>
      </c>
      <c r="H12" s="13">
        <f>IFERROR(SUMIF(Sales!G12:G18,inventorydata[[#This Row],[Product Name]],Sales!J12:J18),"")</f>
        <v>0</v>
      </c>
      <c r="I12" s="13">
        <f>IFERROR(inventorydata[[#This Row],[P Units]]-inventorydata[[#This Row],[S Units]],"")</f>
        <v>1</v>
      </c>
      <c r="J12" s="13">
        <f>IFERROR(inventorydata[[#This Row],[Cost]]*inventorydata[[#This Row],[Stock]],"")</f>
        <v>34500</v>
      </c>
      <c r="K12" s="3" t="str">
        <f>IFERROR(VLOOKUP(inventorydata[[#This Row],[HSN Code]],vendorsdata[#All],4,0),"")</f>
        <v>📞9812xxxxxx</v>
      </c>
      <c r="L12" s="13" t="str">
        <f>IFERROR(IF(inventorydata[[#This Row],[Stock]]&gt;=10,"In Stock","Low Stock"), " ")</f>
        <v>Low Stock</v>
      </c>
    </row>
    <row r="13" spans="2:12" ht="23.4" x14ac:dyDescent="0.45">
      <c r="B13" s="2"/>
      <c r="D13" s="13" t="str">
        <f>IFERROR(purchasedata[[#This Row],[HSN Code]],"")</f>
        <v>N1003</v>
      </c>
      <c r="E13" s="13" t="str">
        <f>IFERROR(purchasedata[[#This Row],[Product Name]],"")</f>
        <v>Wireless Printer</v>
      </c>
      <c r="F13" s="13">
        <f>IFERROR(VLOOKUP(purchasedata[[#This Row],[HSN Code]],productsdata[#All],3,0),"")</f>
        <v>4600</v>
      </c>
      <c r="G13" s="13">
        <f>IFERROR(SUMIF(Purchase!E13:E22,inventorydata[[#This Row],[Product Name]],Purchase!H13:H22),"")</f>
        <v>4</v>
      </c>
      <c r="H13" s="13">
        <f>IFERROR(SUMIF(Sales!G13:G19,inventorydata[[#This Row],[Product Name]],Sales!J13:J19),"")</f>
        <v>3</v>
      </c>
      <c r="I13" s="13">
        <f>IFERROR(inventorydata[[#This Row],[P Units]]-inventorydata[[#This Row],[S Units]],"")</f>
        <v>1</v>
      </c>
      <c r="J13" s="13">
        <f>IFERROR(inventorydata[[#This Row],[Cost]]*inventorydata[[#This Row],[Stock]],"")</f>
        <v>4600</v>
      </c>
      <c r="K13" s="3" t="str">
        <f>IFERROR(VLOOKUP(inventorydata[[#This Row],[HSN Code]],vendorsdata[#All],4,0),"")</f>
        <v>📞9812xxxxxx</v>
      </c>
      <c r="L13" s="13" t="str">
        <f>IFERROR(IF(inventorydata[[#This Row],[Stock]]&gt;=10,"In Stock","Low Stock"), " ")</f>
        <v>Low Stock</v>
      </c>
    </row>
    <row r="14" spans="2:12" ht="23.4" x14ac:dyDescent="0.45">
      <c r="B14" s="2"/>
      <c r="D14" s="13" t="str">
        <f>IFERROR(purchasedata[[#This Row],[HSN Code]],"")</f>
        <v>N1004</v>
      </c>
      <c r="E14" s="13" t="str">
        <f>IFERROR(purchasedata[[#This Row],[Product Name]],"")</f>
        <v>Desktop</v>
      </c>
      <c r="F14" s="13">
        <f>IFERROR(VLOOKUP(purchasedata[[#This Row],[HSN Code]],productsdata[#All],3,0),"")</f>
        <v>21000</v>
      </c>
      <c r="G14" s="13">
        <f>IFERROR(SUMIF(Purchase!E14:E23,inventorydata[[#This Row],[Product Name]],Purchase!H14:H23),"")</f>
        <v>10</v>
      </c>
      <c r="H14" s="13">
        <f>IFERROR(SUMIF(Sales!G14:G20,inventorydata[[#This Row],[Product Name]],Sales!J14:J20),"")</f>
        <v>6</v>
      </c>
      <c r="I14" s="13">
        <f>IFERROR(inventorydata[[#This Row],[P Units]]-inventorydata[[#This Row],[S Units]],"")</f>
        <v>4</v>
      </c>
      <c r="J14" s="13">
        <f>IFERROR(inventorydata[[#This Row],[Cost]]*inventorydata[[#This Row],[Stock]],"")</f>
        <v>84000</v>
      </c>
      <c r="K14" s="3" t="str">
        <f>IFERROR(VLOOKUP(inventorydata[[#This Row],[HSN Code]],vendorsdata[#All],4,0),"")</f>
        <v>📞9813xxxxxx</v>
      </c>
      <c r="L14" s="13" t="str">
        <f>IFERROR(IF(inventorydata[[#This Row],[Stock]]&gt;=10,"In Stock","Low Stock"), " ")</f>
        <v>Low Stock</v>
      </c>
    </row>
    <row r="15" spans="2:12" ht="23.4" x14ac:dyDescent="0.45">
      <c r="B15" s="2"/>
      <c r="D15" s="13" t="str">
        <f>IFERROR(purchasedata[[#This Row],[HSN Code]],"")</f>
        <v>N1005</v>
      </c>
      <c r="E15" s="13" t="str">
        <f>IFERROR(purchasedata[[#This Row],[Product Name]],"")</f>
        <v>Mouse</v>
      </c>
      <c r="F15" s="13">
        <f>IFERROR(VLOOKUP(purchasedata[[#This Row],[HSN Code]],productsdata[#All],3,0),"")</f>
        <v>200</v>
      </c>
      <c r="G15" s="13">
        <f>IFERROR(SUMIF(Purchase!E15:E24,inventorydata[[#This Row],[Product Name]],Purchase!H15:H24),"")</f>
        <v>4</v>
      </c>
      <c r="H15" s="13">
        <f>IFERROR(SUMIF(Sales!G15:G21,inventorydata[[#This Row],[Product Name]],Sales!J15:J21),"")</f>
        <v>2</v>
      </c>
      <c r="I15" s="13">
        <f>IFERROR(inventorydata[[#This Row],[P Units]]-inventorydata[[#This Row],[S Units]],"")</f>
        <v>2</v>
      </c>
      <c r="J15" s="13">
        <f>IFERROR(inventorydata[[#This Row],[Cost]]*inventorydata[[#This Row],[Stock]],"")</f>
        <v>400</v>
      </c>
      <c r="K15" s="3" t="str">
        <f>IFERROR(VLOOKUP(inventorydata[[#This Row],[HSN Code]],vendorsdata[#All],4,0),"")</f>
        <v>📞9813xxxxxx</v>
      </c>
      <c r="L15" s="13" t="str">
        <f>IFERROR(IF(inventorydata[[#This Row],[Stock]]&gt;=10,"In Stock","Low Stock"), " ")</f>
        <v>Low Stock</v>
      </c>
    </row>
    <row r="16" spans="2:12" ht="23.4" x14ac:dyDescent="0.45">
      <c r="B16" s="2"/>
      <c r="D16" s="13" t="str">
        <f>IFERROR(purchasedata[[#This Row],[HSN Code]],"")</f>
        <v>N1006</v>
      </c>
      <c r="E16" s="13" t="str">
        <f>IFERROR(purchasedata[[#This Row],[Product Name]],"")</f>
        <v>Rgb Keyboard</v>
      </c>
      <c r="F16" s="13">
        <f>IFERROR(VLOOKUP(purchasedata[[#This Row],[HSN Code]],productsdata[#All],3,0),"")</f>
        <v>340</v>
      </c>
      <c r="G16" s="13">
        <f>IFERROR(SUMIF(Purchase!E16:E25,inventorydata[[#This Row],[Product Name]],Purchase!H16:H25),"")</f>
        <v>10</v>
      </c>
      <c r="H16" s="13">
        <f>IFERROR(SUMIF(Sales!G16:G22,inventorydata[[#This Row],[Product Name]],Sales!J16:J22),"")</f>
        <v>6</v>
      </c>
      <c r="I16" s="13">
        <f>IFERROR(inventorydata[[#This Row],[P Units]]-inventorydata[[#This Row],[S Units]],"")</f>
        <v>4</v>
      </c>
      <c r="J16" s="13">
        <f>IFERROR(inventorydata[[#This Row],[Cost]]*inventorydata[[#This Row],[Stock]],"")</f>
        <v>1360</v>
      </c>
      <c r="K16" s="3" t="str">
        <f>IFERROR(VLOOKUP(inventorydata[[#This Row],[HSN Code]],vendorsdata[#All],4,0),"")</f>
        <v>📞9813xxxxxx</v>
      </c>
      <c r="L16" s="13" t="str">
        <f>IFERROR(IF(inventorydata[[#This Row],[Stock]]&gt;=10,"In Stock","Low Stock"), " ")</f>
        <v>Low Stock</v>
      </c>
    </row>
    <row r="17" spans="2:12" ht="23.4" x14ac:dyDescent="0.45">
      <c r="B17" s="2"/>
      <c r="D17" s="13" t="str">
        <f>IFERROR(purchasedata[[#This Row],[HSN Code]],"")</f>
        <v>N1007</v>
      </c>
      <c r="E17" s="13" t="str">
        <f>IFERROR(purchasedata[[#This Row],[Product Name]],"")</f>
        <v>Camera</v>
      </c>
      <c r="F17" s="13">
        <f>IFERROR(VLOOKUP(purchasedata[[#This Row],[HSN Code]],productsdata[#All],3,0),"")</f>
        <v>52000</v>
      </c>
      <c r="G17" s="13">
        <f>IFERROR(SUMIF(Purchase!E17:E26,inventorydata[[#This Row],[Product Name]],Purchase!H17:H26),"")</f>
        <v>13</v>
      </c>
      <c r="H17" s="13">
        <f>IFERROR(SUMIF(Sales!G17:G23,inventorydata[[#This Row],[Product Name]],Sales!J17:J23),"")</f>
        <v>1</v>
      </c>
      <c r="I17" s="13">
        <f>IFERROR(inventorydata[[#This Row],[P Units]]-inventorydata[[#This Row],[S Units]],"")</f>
        <v>12</v>
      </c>
      <c r="J17" s="13">
        <f>IFERROR(inventorydata[[#This Row],[Cost]]*inventorydata[[#This Row],[Stock]],"")</f>
        <v>624000</v>
      </c>
      <c r="K17" s="3" t="str">
        <f>IFERROR(VLOOKUP(inventorydata[[#This Row],[HSN Code]],vendorsdata[#All],4,0),"")</f>
        <v>📞9813xxxxxx</v>
      </c>
      <c r="L17" s="13" t="str">
        <f>IFERROR(IF(inventorydata[[#This Row],[Stock]]&gt;=10,"In Stock","Low Stock"), " ")</f>
        <v>In Stock</v>
      </c>
    </row>
    <row r="18" spans="2:12" ht="23.4" x14ac:dyDescent="0.45">
      <c r="B18" s="2"/>
      <c r="D18" s="13" t="str">
        <f>IFERROR(purchasedata[[#This Row],[HSN Code]],"")</f>
        <v>N1008</v>
      </c>
      <c r="E18" s="13" t="str">
        <f>IFERROR(purchasedata[[#This Row],[Product Name]],"")</f>
        <v>HeadPhones</v>
      </c>
      <c r="F18" s="13">
        <f>IFERROR(VLOOKUP(purchasedata[[#This Row],[HSN Code]],productsdata[#All],3,0),"")</f>
        <v>799</v>
      </c>
      <c r="G18" s="13">
        <f>IFERROR(SUMIF(Purchase!E18:E27,inventorydata[[#This Row],[Product Name]],Purchase!H18:H27),"")</f>
        <v>12</v>
      </c>
      <c r="H18" s="13">
        <f>IFERROR(SUMIF(Sales!G18:G24,inventorydata[[#This Row],[Product Name]],Sales!J18:J24),"")</f>
        <v>0</v>
      </c>
      <c r="I18" s="13">
        <f>IFERROR(inventorydata[[#This Row],[P Units]]-inventorydata[[#This Row],[S Units]],"")</f>
        <v>12</v>
      </c>
      <c r="J18" s="13">
        <f>IFERROR(inventorydata[[#This Row],[Cost]]*inventorydata[[#This Row],[Stock]],"")</f>
        <v>9588</v>
      </c>
      <c r="K18" s="3" t="str">
        <f>IFERROR(VLOOKUP(inventorydata[[#This Row],[HSN Code]],vendorsdata[#All],4,0),"")</f>
        <v>📞9814xxxxxx</v>
      </c>
      <c r="L18" s="13" t="str">
        <f>IFERROR(IF(inventorydata[[#This Row],[Stock]]&gt;=10,"In Stock","Low Stock"), " ")</f>
        <v>In Stock</v>
      </c>
    </row>
    <row r="19" spans="2:12" ht="23.4" x14ac:dyDescent="0.45">
      <c r="B19" s="2"/>
      <c r="D19" s="13" t="str">
        <f>IFERROR(purchasedata[[#This Row],[HSN Code]],"")</f>
        <v>N1009</v>
      </c>
      <c r="E19" s="13" t="str">
        <f>IFERROR(purchasedata[[#This Row],[Product Name]],"")</f>
        <v>Speakers</v>
      </c>
      <c r="F19" s="13">
        <f>IFERROR(VLOOKUP(purchasedata[[#This Row],[HSN Code]],productsdata[#All],3,0),"")</f>
        <v>670</v>
      </c>
      <c r="G19" s="13">
        <f>IFERROR(SUMIF(Purchase!E19:E28,inventorydata[[#This Row],[Product Name]],Purchase!H19:H28),"")</f>
        <v>10</v>
      </c>
      <c r="H19" s="13">
        <f>IFERROR(SUMIF(Sales!G19:G25,inventorydata[[#This Row],[Product Name]],Sales!J19:J25),"")</f>
        <v>0</v>
      </c>
      <c r="I19" s="13">
        <f>IFERROR(inventorydata[[#This Row],[P Units]]-inventorydata[[#This Row],[S Units]],"")</f>
        <v>10</v>
      </c>
      <c r="J19" s="13">
        <f>IFERROR(inventorydata[[#This Row],[Cost]]*inventorydata[[#This Row],[Stock]],"")</f>
        <v>6700</v>
      </c>
      <c r="K19" s="3" t="str">
        <f>IFERROR(VLOOKUP(inventorydata[[#This Row],[HSN Code]],vendorsdata[#All],4,0),"")</f>
        <v>📞9814xxxxxx</v>
      </c>
      <c r="L19" s="13" t="str">
        <f>IFERROR(IF(inventorydata[[#This Row],[Stock]]&gt;=10,"In Stock","Low Stock"), " ")</f>
        <v>In Stock</v>
      </c>
    </row>
    <row r="20" spans="2:12" ht="23.4" x14ac:dyDescent="0.45">
      <c r="B20" s="2"/>
      <c r="D20" s="13" t="str">
        <f>IFERROR(purchasedata[[#This Row],[HSN Code]],"")</f>
        <v>N1010</v>
      </c>
      <c r="E20" s="13" t="str">
        <f>IFERROR(purchasedata[[#This Row],[Product Name]],"")</f>
        <v>Tablets</v>
      </c>
      <c r="F20" s="13">
        <f>IFERROR(VLOOKUP(purchasedata[[#This Row],[HSN Code]],productsdata[#All],3,0),"")</f>
        <v>23500</v>
      </c>
      <c r="G20" s="13">
        <f>IFERROR(SUMIF(Purchase!E20:E29,inventorydata[[#This Row],[Product Name]],Purchase!H20:H29),"")</f>
        <v>2</v>
      </c>
      <c r="H20" s="13">
        <f>IFERROR(SUMIF(Sales!G20:G26,inventorydata[[#This Row],[Product Name]],Sales!J20:J26),"")</f>
        <v>0</v>
      </c>
      <c r="I20" s="13">
        <f>IFERROR(inventorydata[[#This Row],[P Units]]-inventorydata[[#This Row],[S Units]],"")</f>
        <v>2</v>
      </c>
      <c r="J20" s="13">
        <f>IFERROR(inventorydata[[#This Row],[Cost]]*inventorydata[[#This Row],[Stock]],"")</f>
        <v>47000</v>
      </c>
      <c r="K20" s="3" t="str">
        <f>IFERROR(VLOOKUP(inventorydata[[#This Row],[HSN Code]],vendorsdata[#All],4,0),"")</f>
        <v>📞9814xxxxxx</v>
      </c>
      <c r="L20" s="13" t="str">
        <f>IFERROR(IF(inventorydata[[#This Row],[Stock]]&gt;=10,"In Stock","Low Stock"), " ")</f>
        <v>Low Stock</v>
      </c>
    </row>
    <row r="21" spans="2:12" x14ac:dyDescent="0.3">
      <c r="B21" s="2"/>
    </row>
    <row r="22" spans="2:12" x14ac:dyDescent="0.3">
      <c r="B22" s="2"/>
    </row>
    <row r="23" spans="2:12" x14ac:dyDescent="0.3">
      <c r="B23" s="2"/>
    </row>
    <row r="24" spans="2:12" x14ac:dyDescent="0.3">
      <c r="B24" s="2"/>
    </row>
  </sheetData>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90780-F04B-4749-A5B7-02E7E8FAD446}">
  <dimension ref="A2:M33"/>
  <sheetViews>
    <sheetView workbookViewId="0">
      <selection activeCell="G28" sqref="G28"/>
    </sheetView>
  </sheetViews>
  <sheetFormatPr defaultRowHeight="14.4" x14ac:dyDescent="0.3"/>
  <cols>
    <col min="1" max="1" width="16.21875" bestFit="1" customWidth="1"/>
    <col min="2" max="2" width="12.109375" bestFit="1" customWidth="1"/>
    <col min="3" max="3" width="12.44140625" customWidth="1"/>
    <col min="7" max="7" width="13.88671875" bestFit="1" customWidth="1"/>
    <col min="8" max="8" width="13.33203125" bestFit="1" customWidth="1"/>
    <col min="12" max="12" width="14.33203125" bestFit="1" customWidth="1"/>
    <col min="13" max="13" width="12.109375" bestFit="1" customWidth="1"/>
  </cols>
  <sheetData>
    <row r="2" spans="1:13" x14ac:dyDescent="0.3">
      <c r="A2" t="s">
        <v>77</v>
      </c>
      <c r="C2" t="s">
        <v>78</v>
      </c>
      <c r="G2" s="5" t="s">
        <v>86</v>
      </c>
      <c r="H2" t="s">
        <v>88</v>
      </c>
      <c r="L2" s="5" t="s">
        <v>86</v>
      </c>
      <c r="M2" t="s">
        <v>95</v>
      </c>
    </row>
    <row r="3" spans="1:13" x14ac:dyDescent="0.3">
      <c r="A3">
        <v>7</v>
      </c>
      <c r="C3">
        <f>GETPIVOTDATA("Name",$A$2)</f>
        <v>7</v>
      </c>
      <c r="G3" s="6" t="s">
        <v>43</v>
      </c>
      <c r="H3">
        <v>6</v>
      </c>
      <c r="L3" s="6" t="s">
        <v>46</v>
      </c>
      <c r="M3">
        <v>12</v>
      </c>
    </row>
    <row r="4" spans="1:13" x14ac:dyDescent="0.3">
      <c r="G4" s="6" t="s">
        <v>45</v>
      </c>
      <c r="H4">
        <v>6</v>
      </c>
      <c r="L4" s="6" t="s">
        <v>43</v>
      </c>
      <c r="M4">
        <v>4</v>
      </c>
    </row>
    <row r="5" spans="1:13" x14ac:dyDescent="0.3">
      <c r="G5" s="6" t="s">
        <v>42</v>
      </c>
      <c r="H5">
        <v>3</v>
      </c>
      <c r="L5" s="6" t="s">
        <v>47</v>
      </c>
      <c r="M5">
        <v>12</v>
      </c>
    </row>
    <row r="6" spans="1:13" x14ac:dyDescent="0.3">
      <c r="A6" t="s">
        <v>79</v>
      </c>
      <c r="C6" t="s">
        <v>80</v>
      </c>
      <c r="G6" s="6" t="s">
        <v>44</v>
      </c>
      <c r="H6">
        <v>2</v>
      </c>
      <c r="L6" s="6" t="s">
        <v>63</v>
      </c>
      <c r="M6">
        <v>1</v>
      </c>
    </row>
    <row r="7" spans="1:13" x14ac:dyDescent="0.3">
      <c r="A7">
        <v>10</v>
      </c>
      <c r="C7">
        <f>GETPIVOTDATA("Product Name",$A$6)</f>
        <v>10</v>
      </c>
      <c r="G7" s="6" t="s">
        <v>41</v>
      </c>
      <c r="H7">
        <v>2</v>
      </c>
      <c r="L7" s="6" t="s">
        <v>44</v>
      </c>
      <c r="M7">
        <v>2</v>
      </c>
    </row>
    <row r="8" spans="1:13" x14ac:dyDescent="0.3">
      <c r="G8" s="6" t="s">
        <v>87</v>
      </c>
      <c r="H8">
        <v>19</v>
      </c>
      <c r="L8" s="6" t="s">
        <v>45</v>
      </c>
      <c r="M8">
        <v>4</v>
      </c>
    </row>
    <row r="9" spans="1:13" x14ac:dyDescent="0.3">
      <c r="L9" s="6" t="s">
        <v>41</v>
      </c>
      <c r="M9">
        <v>10</v>
      </c>
    </row>
    <row r="10" spans="1:13" x14ac:dyDescent="0.3">
      <c r="A10" t="s">
        <v>81</v>
      </c>
      <c r="C10" t="s">
        <v>82</v>
      </c>
      <c r="L10" s="6" t="s">
        <v>48</v>
      </c>
      <c r="M10">
        <v>10</v>
      </c>
    </row>
    <row r="11" spans="1:13" x14ac:dyDescent="0.3">
      <c r="A11">
        <v>1024028</v>
      </c>
      <c r="C11" s="4">
        <f>GETPIVOTDATA("Amount",$A$10)</f>
        <v>1024028</v>
      </c>
      <c r="L11" s="6" t="s">
        <v>49</v>
      </c>
      <c r="M11">
        <v>2</v>
      </c>
    </row>
    <row r="12" spans="1:13" x14ac:dyDescent="0.3">
      <c r="L12" s="6" t="s">
        <v>42</v>
      </c>
      <c r="M12">
        <v>1</v>
      </c>
    </row>
    <row r="13" spans="1:13" x14ac:dyDescent="0.3">
      <c r="L13" s="6" t="s">
        <v>94</v>
      </c>
    </row>
    <row r="14" spans="1:13" x14ac:dyDescent="0.3">
      <c r="A14" t="s">
        <v>81</v>
      </c>
      <c r="C14" t="s">
        <v>83</v>
      </c>
      <c r="L14" s="6" t="s">
        <v>87</v>
      </c>
      <c r="M14">
        <v>58</v>
      </c>
    </row>
    <row r="15" spans="1:13" x14ac:dyDescent="0.3">
      <c r="A15">
        <v>235440</v>
      </c>
      <c r="C15" s="4">
        <f>GETPIVOTDATA("Amount",$A$14)</f>
        <v>235440</v>
      </c>
    </row>
    <row r="16" spans="1:13" x14ac:dyDescent="0.3">
      <c r="G16" s="5" t="s">
        <v>86</v>
      </c>
      <c r="H16" t="s">
        <v>81</v>
      </c>
    </row>
    <row r="17" spans="1:8" x14ac:dyDescent="0.3">
      <c r="G17" s="6" t="s">
        <v>10</v>
      </c>
      <c r="H17">
        <v>151200</v>
      </c>
    </row>
    <row r="18" spans="1:8" x14ac:dyDescent="0.3">
      <c r="A18" t="s">
        <v>84</v>
      </c>
      <c r="C18" t="s">
        <v>76</v>
      </c>
      <c r="G18" s="6" t="s">
        <v>16</v>
      </c>
      <c r="H18">
        <v>62400</v>
      </c>
    </row>
    <row r="19" spans="1:8" x14ac:dyDescent="0.3">
      <c r="A19">
        <v>821948</v>
      </c>
      <c r="C19" s="4">
        <f>GETPIVOTDATA("Stock Amt",$A$18)</f>
        <v>821948</v>
      </c>
      <c r="G19" s="6" t="s">
        <v>7</v>
      </c>
      <c r="H19">
        <v>16560</v>
      </c>
    </row>
    <row r="20" spans="1:8" x14ac:dyDescent="0.3">
      <c r="G20" s="6" t="s">
        <v>14</v>
      </c>
      <c r="H20">
        <v>2448</v>
      </c>
    </row>
    <row r="21" spans="1:8" x14ac:dyDescent="0.3">
      <c r="G21" s="6" t="s">
        <v>18</v>
      </c>
      <c r="H21">
        <v>2352</v>
      </c>
    </row>
    <row r="22" spans="1:8" x14ac:dyDescent="0.3">
      <c r="C22" t="s">
        <v>85</v>
      </c>
      <c r="G22" s="6" t="s">
        <v>87</v>
      </c>
      <c r="H22">
        <v>234960</v>
      </c>
    </row>
    <row r="23" spans="1:8" x14ac:dyDescent="0.3">
      <c r="C23" s="4">
        <f>C19+C15-C11</f>
        <v>33360</v>
      </c>
    </row>
    <row r="24" spans="1:8" x14ac:dyDescent="0.3">
      <c r="C24" s="4"/>
    </row>
    <row r="33" spans="2:2" x14ac:dyDescent="0.3">
      <c r="B33"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Dashboard</vt:lpstr>
      <vt:lpstr>Customers</vt:lpstr>
      <vt:lpstr>Products</vt:lpstr>
      <vt:lpstr>Vendors</vt:lpstr>
      <vt:lpstr>NewEntry</vt:lpstr>
      <vt:lpstr>Purchase</vt:lpstr>
      <vt:lpstr>Sales</vt:lpstr>
      <vt:lpstr>Inventory</vt:lpstr>
      <vt:lpstr>Pivots</vt:lpstr>
      <vt:lpstr>Cust_ID</vt:lpstr>
      <vt:lpstr>hsncode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Ibrahim Salat</dc:creator>
  <cp:lastModifiedBy>Ibrahim Salat</cp:lastModifiedBy>
  <dcterms:created xsi:type="dcterms:W3CDTF">2026-06-08T06:09:16Z</dcterms:created>
  <dcterms:modified xsi:type="dcterms:W3CDTF">2026-08-16T13:00:48Z</dcterms:modified>
</cp:coreProperties>
</file>